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fabien_furfaro_capgemini_com/Documents/Documents/_MISSION/Safran/"/>
    </mc:Choice>
  </mc:AlternateContent>
  <xr:revisionPtr revIDLastSave="23" documentId="8_{C4728B9D-2BA2-41C4-AE5C-1CAABC050FEE}" xr6:coauthVersionLast="47" xr6:coauthVersionMax="47" xr10:uidLastSave="{743BD88C-0393-429C-A5A5-8B2D2812A3A1}"/>
  <bookViews>
    <workbookView xWindow="-110" yWindow="-110" windowWidth="19420" windowHeight="10300" tabRatio="670" xr2:uid="{00000000-000D-0000-FFFF-FFFF00000000}"/>
  </bookViews>
  <sheets>
    <sheet name="Projet Recalage - Tache" sheetId="6" r:id="rId1"/>
    <sheet name="Projet iPWT- Stage (SmartSup)" sheetId="1" state="hidden" r:id="rId2"/>
    <sheet name="Table" sheetId="5" state="hidden" r:id="rId3"/>
  </sheets>
  <definedNames>
    <definedName name="ouinon">Table!$D$1:$D$2</definedName>
    <definedName name="semaine">Table!$A$1:$B$7</definedName>
    <definedName name="_xlnm.Print_Area" localSheetId="1">'Projet iPWT- Stage (SmartSup)'!$A$1:$BO$32</definedName>
    <definedName name="_xlnm.Print_Area" localSheetId="0">'Projet Recalage - Tache'!$A$1:$BO$19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6" l="1"/>
  <c r="D18" i="6"/>
  <c r="D19" i="6"/>
  <c r="D16" i="6"/>
  <c r="D12" i="6"/>
  <c r="D13" i="6"/>
  <c r="D14" i="6"/>
  <c r="D11" i="6"/>
  <c r="G2" i="6"/>
  <c r="G18" i="6" l="1"/>
  <c r="G13" i="6"/>
  <c r="G17" i="6"/>
  <c r="G19" i="6"/>
  <c r="G16" i="6"/>
  <c r="G14" i="6"/>
  <c r="G12" i="6"/>
  <c r="E29" i="6"/>
  <c r="E28" i="6"/>
  <c r="E27" i="6"/>
  <c r="E26" i="6"/>
  <c r="E25" i="6"/>
  <c r="E24" i="6"/>
  <c r="E23" i="6"/>
  <c r="E22" i="6"/>
  <c r="E21" i="6"/>
  <c r="E20" i="6"/>
  <c r="G11" i="6"/>
  <c r="H6" i="6"/>
  <c r="H9" i="6" s="1"/>
  <c r="G22" i="1"/>
  <c r="G23" i="1"/>
  <c r="G25" i="1"/>
  <c r="G19" i="1"/>
  <c r="G13" i="1"/>
  <c r="G15" i="1"/>
  <c r="G20" i="1"/>
  <c r="G17" i="1"/>
  <c r="G16" i="1"/>
  <c r="H7" i="6" l="1"/>
  <c r="H8" i="6"/>
  <c r="I6" i="6"/>
  <c r="G11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J6" i="6" l="1"/>
  <c r="I8" i="6"/>
  <c r="I7" i="6" s="1"/>
  <c r="I9" i="6"/>
  <c r="H6" i="1"/>
  <c r="H7" i="1" s="1"/>
  <c r="K6" i="6" l="1"/>
  <c r="J8" i="6"/>
  <c r="J7" i="6" s="1"/>
  <c r="J9" i="6"/>
  <c r="I6" i="1"/>
  <c r="K8" i="6" l="1"/>
  <c r="K7" i="6" s="1"/>
  <c r="L6" i="6"/>
  <c r="K9" i="6"/>
  <c r="J6" i="1"/>
  <c r="I9" i="1"/>
  <c r="I8" i="1"/>
  <c r="I7" i="1" s="1"/>
  <c r="G2" i="1"/>
  <c r="L8" i="6" l="1"/>
  <c r="L7" i="6" s="1"/>
  <c r="L9" i="6"/>
  <c r="M6" i="6"/>
  <c r="K6" i="1"/>
  <c r="J9" i="1"/>
  <c r="J8" i="1"/>
  <c r="J7" i="1" s="1"/>
  <c r="H8" i="1"/>
  <c r="M8" i="6" l="1"/>
  <c r="M7" i="6" s="1"/>
  <c r="M9" i="6"/>
  <c r="N6" i="6"/>
  <c r="L6" i="1"/>
  <c r="K9" i="1"/>
  <c r="K8" i="1"/>
  <c r="K7" i="1" s="1"/>
  <c r="H9" i="1"/>
  <c r="N9" i="6" l="1"/>
  <c r="O6" i="6"/>
  <c r="N8" i="6"/>
  <c r="N7" i="6" s="1"/>
  <c r="L9" i="1"/>
  <c r="L8" i="1"/>
  <c r="L7" i="1" s="1"/>
  <c r="M6" i="1"/>
  <c r="O9" i="6" l="1"/>
  <c r="P6" i="6"/>
  <c r="O8" i="6"/>
  <c r="O7" i="6" s="1"/>
  <c r="N6" i="1"/>
  <c r="M9" i="1"/>
  <c r="M8" i="1"/>
  <c r="M7" i="1" s="1"/>
  <c r="P9" i="6" l="1"/>
  <c r="Q6" i="6"/>
  <c r="P8" i="6"/>
  <c r="P7" i="6" s="1"/>
  <c r="N8" i="1"/>
  <c r="N7" i="1" s="1"/>
  <c r="O6" i="1"/>
  <c r="N9" i="1"/>
  <c r="R6" i="6" l="1"/>
  <c r="Q9" i="6"/>
  <c r="Q8" i="6"/>
  <c r="Q7" i="6" s="1"/>
  <c r="O8" i="1"/>
  <c r="O7" i="1" s="1"/>
  <c r="O9" i="1"/>
  <c r="P6" i="1"/>
  <c r="S6" i="6" l="1"/>
  <c r="R8" i="6"/>
  <c r="R7" i="6" s="1"/>
  <c r="R9" i="6"/>
  <c r="P8" i="1"/>
  <c r="P7" i="1" s="1"/>
  <c r="Q6" i="1"/>
  <c r="P9" i="1"/>
  <c r="S8" i="6" l="1"/>
  <c r="S7" i="6" s="1"/>
  <c r="S9" i="6"/>
  <c r="T6" i="6"/>
  <c r="Q9" i="1"/>
  <c r="Q8" i="1"/>
  <c r="Q7" i="1" s="1"/>
  <c r="R6" i="1"/>
  <c r="T8" i="6" l="1"/>
  <c r="T7" i="6" s="1"/>
  <c r="U6" i="6"/>
  <c r="T9" i="6"/>
  <c r="S6" i="1"/>
  <c r="R9" i="1"/>
  <c r="R8" i="1"/>
  <c r="R7" i="1" s="1"/>
  <c r="U8" i="6" l="1"/>
  <c r="U7" i="6" s="1"/>
  <c r="U9" i="6"/>
  <c r="V6" i="6"/>
  <c r="T6" i="1"/>
  <c r="S9" i="1"/>
  <c r="S8" i="1"/>
  <c r="S7" i="1" s="1"/>
  <c r="V9" i="6" l="1"/>
  <c r="W6" i="6"/>
  <c r="V8" i="6"/>
  <c r="V7" i="6" s="1"/>
  <c r="T8" i="1"/>
  <c r="T7" i="1" s="1"/>
  <c r="U6" i="1"/>
  <c r="T9" i="1"/>
  <c r="W9" i="6" l="1"/>
  <c r="W8" i="6"/>
  <c r="W7" i="6" s="1"/>
  <c r="X6" i="6"/>
  <c r="U9" i="1"/>
  <c r="U8" i="1"/>
  <c r="U7" i="1" s="1"/>
  <c r="V6" i="1"/>
  <c r="X9" i="6" l="1"/>
  <c r="Y6" i="6"/>
  <c r="X8" i="6"/>
  <c r="X7" i="6" s="1"/>
  <c r="V8" i="1"/>
  <c r="V7" i="1" s="1"/>
  <c r="W6" i="1"/>
  <c r="V9" i="1"/>
  <c r="Y9" i="6" l="1"/>
  <c r="Z6" i="6"/>
  <c r="Y8" i="6"/>
  <c r="Y7" i="6" s="1"/>
  <c r="W8" i="1"/>
  <c r="W7" i="1" s="1"/>
  <c r="W9" i="1"/>
  <c r="X6" i="1"/>
  <c r="AA6" i="6" l="1"/>
  <c r="Z8" i="6"/>
  <c r="Z7" i="6" s="1"/>
  <c r="Z9" i="6"/>
  <c r="X9" i="1"/>
  <c r="X8" i="1"/>
  <c r="X7" i="1" s="1"/>
  <c r="Y6" i="1"/>
  <c r="AA8" i="6" l="1"/>
  <c r="AA7" i="6" s="1"/>
  <c r="AA9" i="6"/>
  <c r="AB6" i="6"/>
  <c r="Z6" i="1"/>
  <c r="Y9" i="1"/>
  <c r="Y8" i="1"/>
  <c r="Y7" i="1" s="1"/>
  <c r="AB8" i="6" l="1"/>
  <c r="AB7" i="6" s="1"/>
  <c r="AC6" i="6"/>
  <c r="AB9" i="6"/>
  <c r="Z8" i="1"/>
  <c r="Z7" i="1" s="1"/>
  <c r="AA6" i="1"/>
  <c r="Z9" i="1"/>
  <c r="AD6" i="6" l="1"/>
  <c r="AC9" i="6"/>
  <c r="AC8" i="6"/>
  <c r="AC7" i="6" s="1"/>
  <c r="AB6" i="1"/>
  <c r="AA8" i="1"/>
  <c r="AA7" i="1" s="1"/>
  <c r="AA9" i="1"/>
  <c r="AD9" i="6" l="1"/>
  <c r="AD8" i="6"/>
  <c r="AD7" i="6" s="1"/>
  <c r="AE6" i="6"/>
  <c r="AB9" i="1"/>
  <c r="AB8" i="1"/>
  <c r="AB7" i="1" s="1"/>
  <c r="AC6" i="1"/>
  <c r="AE9" i="6" l="1"/>
  <c r="AE8" i="6"/>
  <c r="AE7" i="6" s="1"/>
  <c r="AF6" i="6"/>
  <c r="AD6" i="1"/>
  <c r="AC9" i="1"/>
  <c r="AC8" i="1"/>
  <c r="AC7" i="1" s="1"/>
  <c r="AF9" i="6" l="1"/>
  <c r="AG6" i="6"/>
  <c r="AF8" i="6"/>
  <c r="AF7" i="6" s="1"/>
  <c r="AD8" i="1"/>
  <c r="AD7" i="1" s="1"/>
  <c r="AE6" i="1"/>
  <c r="AD9" i="1"/>
  <c r="AH6" i="6" l="1"/>
  <c r="AG8" i="6"/>
  <c r="AG7" i="6" s="1"/>
  <c r="AG9" i="6"/>
  <c r="AE8" i="1"/>
  <c r="AE7" i="1" s="1"/>
  <c r="AF6" i="1"/>
  <c r="AE9" i="1"/>
  <c r="AI6" i="6" l="1"/>
  <c r="AH8" i="6"/>
  <c r="AH7" i="6" s="1"/>
  <c r="AH9" i="6"/>
  <c r="AF9" i="1"/>
  <c r="AG6" i="1"/>
  <c r="AF8" i="1"/>
  <c r="AF7" i="1" s="1"/>
  <c r="AI8" i="6" l="1"/>
  <c r="AI7" i="6" s="1"/>
  <c r="AI9" i="6"/>
  <c r="AJ6" i="6"/>
  <c r="AG9" i="1"/>
  <c r="AG8" i="1"/>
  <c r="AG7" i="1" s="1"/>
  <c r="AH6" i="1"/>
  <c r="AJ8" i="6" l="1"/>
  <c r="AJ7" i="6" s="1"/>
  <c r="AK6" i="6"/>
  <c r="AJ9" i="6"/>
  <c r="AI6" i="1"/>
  <c r="AH9" i="1"/>
  <c r="AH8" i="1"/>
  <c r="AH7" i="1" s="1"/>
  <c r="AK8" i="6" l="1"/>
  <c r="AK7" i="6" s="1"/>
  <c r="AK9" i="6"/>
  <c r="AL6" i="6"/>
  <c r="AJ6" i="1"/>
  <c r="AI8" i="1"/>
  <c r="AI7" i="1" s="1"/>
  <c r="AI9" i="1"/>
  <c r="AM6" i="6" l="1"/>
  <c r="AL9" i="6"/>
  <c r="AL8" i="6"/>
  <c r="AL7" i="6" s="1"/>
  <c r="AJ9" i="1"/>
  <c r="AJ8" i="1"/>
  <c r="AJ7" i="1" s="1"/>
  <c r="AK6" i="1"/>
  <c r="AM9" i="6" l="1"/>
  <c r="AM8" i="6"/>
  <c r="AM7" i="6" s="1"/>
  <c r="AN6" i="6"/>
  <c r="AK9" i="1"/>
  <c r="AK8" i="1"/>
  <c r="AK7" i="1" s="1"/>
  <c r="AL6" i="1"/>
  <c r="AN9" i="6" l="1"/>
  <c r="AO6" i="6"/>
  <c r="AN8" i="6"/>
  <c r="AN7" i="6" s="1"/>
  <c r="AM6" i="1"/>
  <c r="AL9" i="1"/>
  <c r="AL8" i="1"/>
  <c r="AL7" i="1" s="1"/>
  <c r="AP6" i="6" l="1"/>
  <c r="AO9" i="6"/>
  <c r="AO8" i="6"/>
  <c r="AO7" i="6" s="1"/>
  <c r="AN6" i="1"/>
  <c r="AM9" i="1"/>
  <c r="AM8" i="1"/>
  <c r="AM7" i="1" s="1"/>
  <c r="AQ6" i="6" l="1"/>
  <c r="AP8" i="6"/>
  <c r="AP7" i="6" s="1"/>
  <c r="AP9" i="6"/>
  <c r="AN8" i="1"/>
  <c r="AN7" i="1" s="1"/>
  <c r="AO6" i="1"/>
  <c r="AN9" i="1"/>
  <c r="AQ8" i="6" l="1"/>
  <c r="AQ7" i="6" s="1"/>
  <c r="AQ9" i="6"/>
  <c r="AR6" i="6"/>
  <c r="AO9" i="1"/>
  <c r="AO8" i="1"/>
  <c r="AO7" i="1" s="1"/>
  <c r="AP6" i="1"/>
  <c r="AR8" i="6" l="1"/>
  <c r="AR7" i="6" s="1"/>
  <c r="AS6" i="6"/>
  <c r="AR9" i="6"/>
  <c r="AP8" i="1"/>
  <c r="AP7" i="1" s="1"/>
  <c r="AQ6" i="1"/>
  <c r="AP9" i="1"/>
  <c r="AT6" i="6" l="1"/>
  <c r="AS8" i="6"/>
  <c r="AS7" i="6" s="1"/>
  <c r="AS9" i="6"/>
  <c r="AR6" i="1"/>
  <c r="AQ8" i="1"/>
  <c r="AQ7" i="1" s="1"/>
  <c r="AQ9" i="1"/>
  <c r="AT9" i="6" l="1"/>
  <c r="AU6" i="6"/>
  <c r="AT8" i="6"/>
  <c r="AT7" i="6" s="1"/>
  <c r="AR9" i="1"/>
  <c r="AR8" i="1"/>
  <c r="AR7" i="1" s="1"/>
  <c r="AS6" i="1"/>
  <c r="AU9" i="6" l="1"/>
  <c r="AU8" i="6"/>
  <c r="AU7" i="6" s="1"/>
  <c r="AV6" i="6"/>
  <c r="AT6" i="1"/>
  <c r="AS9" i="1"/>
  <c r="AS8" i="1"/>
  <c r="AS7" i="1" s="1"/>
  <c r="AV9" i="6" l="1"/>
  <c r="AW6" i="6"/>
  <c r="AV8" i="6"/>
  <c r="AV7" i="6" s="1"/>
  <c r="AT8" i="1"/>
  <c r="AT7" i="1" s="1"/>
  <c r="AU6" i="1"/>
  <c r="AT9" i="1"/>
  <c r="AX6" i="6" l="1"/>
  <c r="AW8" i="6"/>
  <c r="AW7" i="6" s="1"/>
  <c r="AW9" i="6"/>
  <c r="AU8" i="1"/>
  <c r="AU7" i="1" s="1"/>
  <c r="AV6" i="1"/>
  <c r="AU9" i="1"/>
  <c r="AY6" i="6" l="1"/>
  <c r="AX8" i="6"/>
  <c r="AX7" i="6" s="1"/>
  <c r="AX9" i="6"/>
  <c r="AV9" i="1"/>
  <c r="AV8" i="1"/>
  <c r="AV7" i="1" s="1"/>
  <c r="AW6" i="1"/>
  <c r="AY8" i="6" l="1"/>
  <c r="AY7" i="6" s="1"/>
  <c r="AY9" i="6"/>
  <c r="AZ6" i="6"/>
  <c r="AX6" i="1"/>
  <c r="AW9" i="1"/>
  <c r="AW8" i="1"/>
  <c r="AW7" i="1" s="1"/>
  <c r="AZ8" i="6" l="1"/>
  <c r="AZ7" i="6" s="1"/>
  <c r="AZ9" i="6"/>
  <c r="BA6" i="6"/>
  <c r="AX8" i="1"/>
  <c r="AX7" i="1" s="1"/>
  <c r="AY6" i="1"/>
  <c r="AX9" i="1"/>
  <c r="BA9" i="6" l="1"/>
  <c r="BB6" i="6"/>
  <c r="BA8" i="6"/>
  <c r="BA7" i="6" s="1"/>
  <c r="AZ6" i="1"/>
  <c r="AY8" i="1"/>
  <c r="AY7" i="1" s="1"/>
  <c r="AY9" i="1"/>
  <c r="BB9" i="6" l="1"/>
  <c r="BC6" i="6"/>
  <c r="BB8" i="6"/>
  <c r="BB7" i="6" s="1"/>
  <c r="AZ9" i="1"/>
  <c r="AZ8" i="1"/>
  <c r="AZ7" i="1" s="1"/>
  <c r="BA6" i="1"/>
  <c r="BC9" i="6" l="1"/>
  <c r="BD6" i="6"/>
  <c r="BC8" i="6"/>
  <c r="BC7" i="6" s="1"/>
  <c r="BB6" i="1"/>
  <c r="BA9" i="1"/>
  <c r="BA8" i="1"/>
  <c r="BA7" i="1" s="1"/>
  <c r="BD9" i="6" l="1"/>
  <c r="BE6" i="6"/>
  <c r="BD8" i="6"/>
  <c r="BD7" i="6" s="1"/>
  <c r="BB8" i="1"/>
  <c r="BB7" i="1" s="1"/>
  <c r="BC6" i="1"/>
  <c r="BB9" i="1"/>
  <c r="BE9" i="6" l="1"/>
  <c r="BF6" i="6"/>
  <c r="BE8" i="6"/>
  <c r="BE7" i="6" s="1"/>
  <c r="BC8" i="1"/>
  <c r="BC7" i="1" s="1"/>
  <c r="BD6" i="1"/>
  <c r="BC9" i="1"/>
  <c r="BG6" i="6" l="1"/>
  <c r="BF8" i="6"/>
  <c r="BF7" i="6" s="1"/>
  <c r="BF9" i="6"/>
  <c r="BD9" i="1"/>
  <c r="BD8" i="1"/>
  <c r="BD7" i="1" s="1"/>
  <c r="BE6" i="1"/>
  <c r="BG8" i="6" l="1"/>
  <c r="BG7" i="6" s="1"/>
  <c r="BH6" i="6"/>
  <c r="BG9" i="6"/>
  <c r="BF6" i="1"/>
  <c r="BE9" i="1"/>
  <c r="BE8" i="1"/>
  <c r="BE7" i="1" s="1"/>
  <c r="BH8" i="6" l="1"/>
  <c r="BH7" i="6" s="1"/>
  <c r="BI6" i="6"/>
  <c r="BH9" i="6"/>
  <c r="BF8" i="1"/>
  <c r="BF7" i="1" s="1"/>
  <c r="BG6" i="1"/>
  <c r="BF9" i="1"/>
  <c r="BJ6" i="6" l="1"/>
  <c r="BI9" i="6"/>
  <c r="BI8" i="6"/>
  <c r="BI7" i="6" s="1"/>
  <c r="BH6" i="1"/>
  <c r="BG8" i="1"/>
  <c r="BG7" i="1" s="1"/>
  <c r="BG9" i="1"/>
  <c r="BJ9" i="6" l="1"/>
  <c r="BK6" i="6"/>
  <c r="BJ8" i="6"/>
  <c r="BJ7" i="6" s="1"/>
  <c r="BH9" i="1"/>
  <c r="BH8" i="1"/>
  <c r="BH7" i="1" s="1"/>
  <c r="BI6" i="1"/>
  <c r="BK9" i="6" l="1"/>
  <c r="BK8" i="6"/>
  <c r="BK7" i="6" s="1"/>
  <c r="BL6" i="6"/>
  <c r="BJ6" i="1"/>
  <c r="BI9" i="1"/>
  <c r="BI8" i="1"/>
  <c r="BI7" i="1" s="1"/>
  <c r="BL9" i="6" l="1"/>
  <c r="BM6" i="6"/>
  <c r="BL8" i="6"/>
  <c r="BL7" i="6" s="1"/>
  <c r="BJ8" i="1"/>
  <c r="BJ7" i="1" s="1"/>
  <c r="BK6" i="1"/>
  <c r="BJ9" i="1"/>
  <c r="BN6" i="6" l="1"/>
  <c r="BM8" i="6"/>
  <c r="BM7" i="6" s="1"/>
  <c r="BM9" i="6"/>
  <c r="BK8" i="1"/>
  <c r="BK7" i="1" s="1"/>
  <c r="BL6" i="1"/>
  <c r="BK9" i="1"/>
  <c r="BO6" i="6" l="1"/>
  <c r="BN8" i="6"/>
  <c r="BN7" i="6" s="1"/>
  <c r="BN9" i="6"/>
  <c r="BL9" i="1"/>
  <c r="BL8" i="1"/>
  <c r="BL7" i="1" s="1"/>
  <c r="BM6" i="1"/>
  <c r="BO8" i="6" l="1"/>
  <c r="BO7" i="6" s="1"/>
  <c r="BO9" i="6"/>
  <c r="BN6" i="1"/>
  <c r="BM9" i="1"/>
  <c r="BM8" i="1"/>
  <c r="BM7" i="1" s="1"/>
  <c r="BN8" i="1" l="1"/>
  <c r="BN7" i="1" s="1"/>
  <c r="BO6" i="1"/>
  <c r="BN9" i="1"/>
  <c r="BO8" i="1" l="1"/>
  <c r="BO7" i="1" s="1"/>
  <c r="BO9" i="1"/>
</calcChain>
</file>

<file path=xl/sharedStrings.xml><?xml version="1.0" encoding="utf-8"?>
<sst xmlns="http://schemas.openxmlformats.org/spreadsheetml/2006/main" count="81" uniqueCount="54">
  <si>
    <t>Fiche des tâches Stagiaire Fadwae BACHIRI</t>
  </si>
  <si>
    <t>Projet</t>
  </si>
  <si>
    <t>iPowertrain</t>
  </si>
  <si>
    <t>Chef de projet</t>
  </si>
  <si>
    <t>Fabien FURFARO / Joëlle FERZLY</t>
  </si>
  <si>
    <t>Jours ouvrés uniquement</t>
  </si>
  <si>
    <t>OUI</t>
  </si>
  <si>
    <t>Date de début</t>
  </si>
  <si>
    <r>
      <t>Sujet :</t>
    </r>
    <r>
      <rPr>
        <b/>
        <sz val="9"/>
        <color theme="1"/>
        <rFont val="Calibri"/>
        <family val="2"/>
        <scheme val="minor"/>
      </rPr>
      <t xml:space="preserve"> Intégration d'algorithmes d'apprentissage pour contrôler la température d'une simulation de la gestion thermique GMP</t>
    </r>
  </si>
  <si>
    <t>Tâches</t>
  </si>
  <si>
    <t>Durée</t>
  </si>
  <si>
    <t>Date de fin</t>
  </si>
  <si>
    <t>Réalisé</t>
  </si>
  <si>
    <t>Etat de l'art</t>
  </si>
  <si>
    <t>1.1</t>
  </si>
  <si>
    <t>1.2</t>
  </si>
  <si>
    <t>1.3</t>
  </si>
  <si>
    <t>Veille scientifique et présentation des travaux</t>
  </si>
  <si>
    <t>Partie entrainement des modèles</t>
  </si>
  <si>
    <t>2.1</t>
  </si>
  <si>
    <t>Comprehension des travaux existants (CartPole + LTI + RLLIB)</t>
  </si>
  <si>
    <t>2.2</t>
  </si>
  <si>
    <t>Parametrisation des configurations d'entrainements LTI</t>
  </si>
  <si>
    <t>2.3</t>
  </si>
  <si>
    <t xml:space="preserve">Partie intégration des modèles dans MATLAB </t>
  </si>
  <si>
    <t>3.1</t>
  </si>
  <si>
    <t>Comprehension des modèles de gestion thermique</t>
  </si>
  <si>
    <t>3.2</t>
  </si>
  <si>
    <t>Compilation des modèles et tests des performances</t>
  </si>
  <si>
    <t>Rédaction</t>
  </si>
  <si>
    <t>Rédaction d'un rapport de stage</t>
  </si>
  <si>
    <t>L</t>
  </si>
  <si>
    <t>M</t>
  </si>
  <si>
    <t>NON</t>
  </si>
  <si>
    <t>J</t>
  </si>
  <si>
    <t>V</t>
  </si>
  <si>
    <t>S</t>
  </si>
  <si>
    <t>D</t>
  </si>
  <si>
    <t>Prédiction des comportements prototypes</t>
  </si>
  <si>
    <t>Comprehension de la communication CAN</t>
  </si>
  <si>
    <t>Fine Tuning des modèle et mesure de l'efficacité (cas continu)</t>
  </si>
  <si>
    <t>LLM pour la diagnostique automobile</t>
  </si>
  <si>
    <t>Revue de la documentation iPowertrain - Analyse Fonctionnelle</t>
  </si>
  <si>
    <t>Mise en contexte industrielle - Plannification / CdC</t>
  </si>
  <si>
    <t>Responsable Technique</t>
  </si>
  <si>
    <t>Fabien FURFARO</t>
  </si>
  <si>
    <t>1.4</t>
  </si>
  <si>
    <t>2.4</t>
  </si>
  <si>
    <t>Feuille de route [NOM]</t>
  </si>
  <si>
    <r>
      <t>Sujet :</t>
    </r>
    <r>
      <rPr>
        <b/>
        <sz val="9"/>
        <color theme="1"/>
        <rFont val="Calibri"/>
        <family val="2"/>
        <scheme val="minor"/>
      </rPr>
      <t xml:space="preserve"> [NOM]</t>
    </r>
  </si>
  <si>
    <t>Livrable [NOM]</t>
  </si>
  <si>
    <t>WP1 ou EPIC1</t>
  </si>
  <si>
    <t>WP2 ou EPIC2</t>
  </si>
  <si>
    <t>Feature / Tache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</si>
</sst>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1" xfId="0" applyNumberFormat="1" applyFont="1" applyBorder="1" applyAlignment="1">
      <alignment horizontal="left" textRotation="90"/>
    </xf>
    <xf numFmtId="164" fontId="3" fillId="0" borderId="0" xfId="0" applyNumberFormat="1" applyFont="1" applyAlignment="1">
      <alignment horizontal="left" textRotation="90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 vertical="top" textRotation="90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1" applyFont="1"/>
    <xf numFmtId="9" fontId="3" fillId="0" borderId="0" xfId="1" applyFont="1" applyAlignment="1">
      <alignment horizontal="left"/>
    </xf>
    <xf numFmtId="9" fontId="2" fillId="0" borderId="0" xfId="1" applyFont="1" applyAlignment="1">
      <alignment horizontal="left"/>
    </xf>
    <xf numFmtId="9" fontId="3" fillId="0" borderId="3" xfId="1" applyFont="1" applyFill="1" applyBorder="1" applyAlignment="1">
      <alignment horizontal="left" vertical="center" wrapText="1"/>
    </xf>
    <xf numFmtId="9" fontId="3" fillId="0" borderId="0" xfId="1" applyFont="1" applyBorder="1" applyAlignment="1">
      <alignment horizontal="left"/>
    </xf>
    <xf numFmtId="9" fontId="2" fillId="0" borderId="0" xfId="1" applyFont="1" applyBorder="1" applyAlignment="1">
      <alignment horizontal="left"/>
    </xf>
    <xf numFmtId="14" fontId="2" fillId="0" borderId="0" xfId="1" applyNumberFormat="1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9" fontId="4" fillId="2" borderId="0" xfId="1" applyFont="1" applyFill="1"/>
    <xf numFmtId="0" fontId="5" fillId="2" borderId="0" xfId="0" applyFont="1" applyFill="1" applyAlignment="1">
      <alignment horizontal="center"/>
    </xf>
    <xf numFmtId="0" fontId="8" fillId="0" borderId="7" xfId="0" applyFont="1" applyBorder="1"/>
    <xf numFmtId="14" fontId="8" fillId="0" borderId="6" xfId="0" applyNumberFormat="1" applyFont="1" applyBorder="1" applyAlignment="1">
      <alignment horizontal="left"/>
    </xf>
    <xf numFmtId="9" fontId="4" fillId="2" borderId="0" xfId="1" applyFont="1" applyFill="1" applyBorder="1" applyAlignment="1">
      <alignment horizontal="left"/>
    </xf>
    <xf numFmtId="0" fontId="8" fillId="0" borderId="8" xfId="0" applyFont="1" applyBorder="1" applyAlignment="1">
      <alignment horizontal="left"/>
    </xf>
    <xf numFmtId="14" fontId="2" fillId="0" borderId="0" xfId="0" quotePrefix="1" applyNumberFormat="1" applyFont="1" applyAlignment="1">
      <alignment horizontal="left"/>
    </xf>
    <xf numFmtId="0" fontId="8" fillId="0" borderId="6" xfId="0" applyFont="1" applyBorder="1" applyAlignment="1">
      <alignment horizontal="left"/>
    </xf>
    <xf numFmtId="0" fontId="5" fillId="2" borderId="0" xfId="0" applyFont="1" applyFill="1"/>
    <xf numFmtId="14" fontId="5" fillId="2" borderId="0" xfId="0" applyNumberFormat="1" applyFont="1" applyFill="1" applyAlignment="1">
      <alignment horizontal="left"/>
    </xf>
    <xf numFmtId="14" fontId="5" fillId="2" borderId="0" xfId="0" quotePrefix="1" applyNumberFormat="1" applyFont="1" applyFill="1" applyAlignment="1">
      <alignment horizontal="left"/>
    </xf>
    <xf numFmtId="9" fontId="5" fillId="2" borderId="0" xfId="1" applyFont="1" applyFill="1" applyBorder="1" applyAlignment="1">
      <alignment horizontal="left"/>
    </xf>
    <xf numFmtId="14" fontId="5" fillId="2" borderId="0" xfId="1" applyNumberFormat="1" applyFont="1" applyFill="1"/>
    <xf numFmtId="14" fontId="2" fillId="0" borderId="0" xfId="1" applyNumberFormat="1" applyFont="1"/>
    <xf numFmtId="0" fontId="11" fillId="2" borderId="0" xfId="0" applyFont="1" applyFill="1" applyAlignment="1">
      <alignment horizontal="left"/>
    </xf>
    <xf numFmtId="0" fontId="11" fillId="2" borderId="0" xfId="0" applyFont="1" applyFill="1"/>
    <xf numFmtId="0" fontId="12" fillId="2" borderId="0" xfId="0" applyFont="1" applyFill="1" applyAlignment="1">
      <alignment horizontal="left"/>
    </xf>
    <xf numFmtId="0" fontId="10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9" fontId="3" fillId="0" borderId="0" xfId="1" applyFont="1" applyAlignment="1">
      <alignment horizontal="right"/>
    </xf>
    <xf numFmtId="9" fontId="2" fillId="0" borderId="0" xfId="1" applyFont="1" applyAlignment="1">
      <alignment horizontal="right"/>
    </xf>
    <xf numFmtId="9" fontId="3" fillId="0" borderId="3" xfId="1" applyFont="1" applyFill="1" applyBorder="1" applyAlignment="1">
      <alignment horizontal="right" vertical="center" wrapText="1"/>
    </xf>
    <xf numFmtId="9" fontId="4" fillId="2" borderId="0" xfId="1" applyFont="1" applyFill="1" applyAlignment="1">
      <alignment horizontal="right"/>
    </xf>
    <xf numFmtId="14" fontId="2" fillId="0" borderId="0" xfId="1" applyNumberFormat="1" applyFont="1" applyAlignment="1">
      <alignment horizontal="right"/>
    </xf>
    <xf numFmtId="14" fontId="5" fillId="2" borderId="0" xfId="1" applyNumberFormat="1" applyFont="1" applyFill="1" applyAlignment="1">
      <alignment horizontal="right"/>
    </xf>
    <xf numFmtId="0" fontId="2" fillId="3" borderId="0" xfId="0" applyFont="1" applyFill="1" applyAlignment="1">
      <alignment horizontal="left" wrapText="1"/>
    </xf>
    <xf numFmtId="0" fontId="7" fillId="0" borderId="4" xfId="0" applyFont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left"/>
    </xf>
    <xf numFmtId="9" fontId="3" fillId="0" borderId="2" xfId="1" applyFont="1" applyFill="1" applyBorder="1" applyAlignment="1">
      <alignment horizontal="left" vertical="center" wrapText="1"/>
    </xf>
    <xf numFmtId="164" fontId="9" fillId="0" borderId="6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164" fontId="7" fillId="0" borderId="7" xfId="0" applyNumberFormat="1" applyFont="1" applyBorder="1" applyAlignment="1">
      <alignment horizontal="left" vertical="top"/>
    </xf>
    <xf numFmtId="164" fontId="7" fillId="0" borderId="8" xfId="0" applyNumberFormat="1" applyFont="1" applyBorder="1" applyAlignment="1">
      <alignment horizontal="left" vertical="top"/>
    </xf>
    <xf numFmtId="0" fontId="6" fillId="2" borderId="5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47">
    <dxf>
      <border>
        <left style="thin">
          <color theme="1" tint="0.499984740745262"/>
        </left>
        <vertical/>
        <horizontal/>
      </border>
    </dxf>
    <dxf>
      <font>
        <color theme="0"/>
      </font>
    </dxf>
    <dxf>
      <border>
        <left style="thin">
          <color rgb="FFFF0000"/>
        </left>
        <vertical/>
        <horizontal/>
      </border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A7C46E"/>
        </patternFill>
      </fill>
    </dxf>
    <dxf>
      <font>
        <color theme="0"/>
      </font>
    </dxf>
    <dxf>
      <border>
        <left style="thin">
          <color rgb="FFFF0000"/>
        </left>
        <vertical/>
        <horizontal/>
      </border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A7C46E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A7C46E"/>
        </patternFill>
      </fill>
    </dxf>
    <dxf>
      <font>
        <color theme="0"/>
      </font>
    </dxf>
    <dxf>
      <border>
        <left style="thin">
          <color rgb="FFFF0000"/>
        </left>
        <vertical/>
        <horizontal/>
      </border>
    </dxf>
    <dxf>
      <border>
        <left style="thin">
          <color rgb="FFFF0000"/>
        </left>
        <vertical/>
        <horizontal/>
      </border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A7C46E"/>
        </patternFill>
      </fill>
    </dxf>
    <dxf>
      <font>
        <color theme="0"/>
      </font>
    </dxf>
    <dxf>
      <border>
        <left style="thin">
          <color theme="0" tint="-0.34998626667073579"/>
        </left>
        <vertical/>
        <horizontal/>
      </border>
    </dxf>
    <dxf>
      <border>
        <left/>
        <right style="thin">
          <color theme="0" tint="-0.34998626667073579"/>
        </right>
        <top/>
        <bottom/>
        <vertical/>
        <horizontal/>
      </border>
    </dxf>
    <dxf>
      <border>
        <left/>
        <right style="thin">
          <color theme="0" tint="-0.34998626667073579"/>
        </right>
        <top/>
        <bottom/>
        <vertical/>
        <horizontal/>
      </border>
    </dxf>
    <dxf>
      <border>
        <left/>
        <right style="thin">
          <color theme="0" tint="-0.34998626667073579"/>
        </right>
        <top/>
        <bottom/>
        <vertical/>
        <horizontal/>
      </border>
    </dxf>
    <dxf>
      <border>
        <left/>
        <right style="thin">
          <color theme="0" tint="-0.34998626667073579"/>
        </right>
        <top/>
        <bottom/>
        <vertical/>
        <horizontal/>
      </border>
    </dxf>
    <dxf>
      <border>
        <left/>
        <right style="thin">
          <color theme="0" tint="-0.34998626667073579"/>
        </right>
        <top/>
        <bottom/>
        <vertical/>
        <horizontal/>
      </border>
    </dxf>
    <dxf>
      <border>
        <left/>
        <right style="thin">
          <color theme="0" tint="-0.34998626667073579"/>
        </right>
        <top/>
        <bottom/>
        <vertical/>
        <horizontal/>
      </border>
    </dxf>
    <dxf>
      <border>
        <left/>
        <right style="thin">
          <color theme="0" tint="-0.34998626667073579"/>
        </right>
        <top/>
        <bottom/>
        <vertical/>
        <horizontal/>
      </border>
    </dxf>
    <dxf>
      <border>
        <left style="thin">
          <color theme="1" tint="0.499984740745262"/>
        </left>
        <vertical/>
        <horizontal/>
      </border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A7C46E"/>
        </patternFill>
      </fill>
    </dxf>
    <dxf>
      <font>
        <color theme="0"/>
      </font>
    </dxf>
    <dxf>
      <border>
        <left style="thin">
          <color rgb="FFFF0000"/>
        </left>
        <vertical/>
        <horizontal/>
      </border>
    </dxf>
    <dxf>
      <border>
        <left style="thin">
          <color rgb="FFFF0000"/>
        </left>
        <vertical/>
        <horizontal/>
      </border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A7C46E"/>
        </patternFill>
      </fill>
    </dxf>
    <dxf>
      <font>
        <color theme="0"/>
      </font>
    </dxf>
    <dxf>
      <border>
        <left style="thin">
          <color theme="0" tint="-0.34998626667073579"/>
        </left>
        <vertical/>
        <horizontal/>
      </border>
    </dxf>
    <dxf>
      <border>
        <left/>
        <right style="thin">
          <color theme="0" tint="-0.34998626667073579"/>
        </right>
        <top/>
        <bottom/>
        <vertical/>
        <horizontal/>
      </border>
    </dxf>
    <dxf>
      <border>
        <left/>
        <right style="thin">
          <color theme="0" tint="-0.34998626667073579"/>
        </right>
        <top/>
        <bottom/>
        <vertical/>
        <horizontal/>
      </border>
    </dxf>
    <dxf>
      <border>
        <left/>
        <right style="thin">
          <color theme="0" tint="-0.34998626667073579"/>
        </right>
        <top/>
        <bottom/>
        <vertical/>
        <horizontal/>
      </border>
    </dxf>
    <dxf>
      <border>
        <left/>
        <right style="thin">
          <color theme="0" tint="-0.34998626667073579"/>
        </right>
        <top/>
        <bottom/>
        <vertical/>
        <horizontal/>
      </border>
    </dxf>
  </dxfs>
  <tableStyles count="0" defaultTableStyle="TableStyleMedium2" defaultPivotStyle="PivotStyleLight16"/>
  <colors>
    <mruColors>
      <color rgb="FFFF7575"/>
      <color rgb="FFFC4653"/>
      <color rgb="FFD07C7A"/>
      <color rgb="FFA7C46E"/>
      <color rgb="FF88E8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Scroll" dx="16" fmlaLink="$G$1" horiz="1" inc="5" max="180" page="10" val="0"/>
</file>

<file path=xl/ctrlProps/ctrlProp2.xml><?xml version="1.0" encoding="utf-8"?>
<formControlPr xmlns="http://schemas.microsoft.com/office/spreadsheetml/2009/9/main" objectType="Scroll" dx="16" fmlaLink="$G$1" horiz="1" inc="5" max="180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1</xdr:row>
          <xdr:rowOff>31750</xdr:rowOff>
        </xdr:from>
        <xdr:to>
          <xdr:col>66</xdr:col>
          <xdr:colOff>133350</xdr:colOff>
          <xdr:row>2</xdr:row>
          <xdr:rowOff>127000</xdr:rowOff>
        </xdr:to>
        <xdr:sp macro="" textlink="">
          <xdr:nvSpPr>
            <xdr:cNvPr id="2049" name="Scroll Ba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1</xdr:row>
          <xdr:rowOff>31750</xdr:rowOff>
        </xdr:from>
        <xdr:to>
          <xdr:col>66</xdr:col>
          <xdr:colOff>133350</xdr:colOff>
          <xdr:row>2</xdr:row>
          <xdr:rowOff>127000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7796-A836-49A4-8EE1-3A0348661D9A}">
  <sheetPr>
    <tabColor rgb="FFFF0000"/>
    <pageSetUpPr fitToPage="1"/>
  </sheetPr>
  <dimension ref="A1:BO29"/>
  <sheetViews>
    <sheetView showGridLines="0" tabSelected="1" zoomScaleNormal="100" workbookViewId="0">
      <pane ySplit="9" topLeftCell="A10" activePane="bottomLeft" state="frozen"/>
      <selection pane="bottomLeft" activeCell="C21" sqref="C21"/>
    </sheetView>
  </sheetViews>
  <sheetFormatPr baseColWidth="10" defaultColWidth="11" defaultRowHeight="10.5" x14ac:dyDescent="0.25"/>
  <cols>
    <col min="1" max="1" width="7.54296875" style="6" bestFit="1" customWidth="1"/>
    <col min="2" max="2" width="39.08984375" style="1" bestFit="1" customWidth="1"/>
    <col min="3" max="3" width="9.81640625" style="6" bestFit="1" customWidth="1"/>
    <col min="4" max="4" width="4.54296875" style="1" bestFit="1" customWidth="1"/>
    <col min="5" max="5" width="9" style="6" bestFit="1" customWidth="1"/>
    <col min="6" max="6" width="5.453125" style="15" customWidth="1"/>
    <col min="7" max="7" width="8.7265625" style="40" bestFit="1" customWidth="1"/>
    <col min="8" max="67" width="2.54296875" style="1" customWidth="1"/>
    <col min="68" max="16384" width="11" style="1"/>
  </cols>
  <sheetData>
    <row r="1" spans="1:67" ht="25" customHeight="1" x14ac:dyDescent="0.35">
      <c r="A1" s="47" t="s">
        <v>48</v>
      </c>
      <c r="B1" s="47"/>
      <c r="C1" s="47"/>
      <c r="D1" s="47"/>
      <c r="E1" s="47"/>
      <c r="G1" s="37">
        <v>0</v>
      </c>
    </row>
    <row r="2" spans="1:67" ht="12" x14ac:dyDescent="0.3">
      <c r="A2" s="46" t="s">
        <v>1</v>
      </c>
      <c r="B2" s="46"/>
      <c r="C2" s="48"/>
      <c r="D2" s="48"/>
      <c r="E2" s="48"/>
      <c r="G2" s="38">
        <f ca="1">TODAY()</f>
        <v>45974</v>
      </c>
    </row>
    <row r="3" spans="1:67" ht="12" x14ac:dyDescent="0.3">
      <c r="A3" s="46" t="s">
        <v>44</v>
      </c>
      <c r="B3" s="46"/>
      <c r="C3" s="48" t="s">
        <v>45</v>
      </c>
      <c r="D3" s="48"/>
      <c r="E3" s="48"/>
      <c r="G3" s="38"/>
    </row>
    <row r="4" spans="1:67" ht="12" x14ac:dyDescent="0.3">
      <c r="A4" s="46" t="s">
        <v>5</v>
      </c>
      <c r="B4" s="46"/>
      <c r="C4" s="26" t="s">
        <v>6</v>
      </c>
      <c r="D4" s="21"/>
      <c r="E4" s="24"/>
      <c r="G4" s="38"/>
    </row>
    <row r="5" spans="1:67" ht="12" x14ac:dyDescent="0.3">
      <c r="A5" s="46" t="s">
        <v>7</v>
      </c>
      <c r="B5" s="46"/>
      <c r="C5" s="22">
        <v>45971</v>
      </c>
      <c r="D5" s="21"/>
      <c r="E5" s="24"/>
      <c r="G5" s="38"/>
    </row>
    <row r="6" spans="1:67" s="3" customFormat="1" ht="30.5" x14ac:dyDescent="0.25">
      <c r="A6" s="50" t="s">
        <v>49</v>
      </c>
      <c r="B6" s="50"/>
      <c r="C6" s="50"/>
      <c r="D6" s="50"/>
      <c r="E6" s="50"/>
      <c r="F6" s="14"/>
      <c r="G6" s="39"/>
      <c r="H6" s="4">
        <f>C5+G1</f>
        <v>45971</v>
      </c>
      <c r="I6" s="5">
        <f>H6+1</f>
        <v>45972</v>
      </c>
      <c r="J6" s="5">
        <f t="shared" ref="J6:BO6" si="0">I6+1</f>
        <v>45973</v>
      </c>
      <c r="K6" s="5">
        <f t="shared" si="0"/>
        <v>45974</v>
      </c>
      <c r="L6" s="5">
        <f t="shared" si="0"/>
        <v>45975</v>
      </c>
      <c r="M6" s="5">
        <f t="shared" si="0"/>
        <v>45976</v>
      </c>
      <c r="N6" s="5">
        <f t="shared" si="0"/>
        <v>45977</v>
      </c>
      <c r="O6" s="5">
        <f t="shared" si="0"/>
        <v>45978</v>
      </c>
      <c r="P6" s="5">
        <f t="shared" si="0"/>
        <v>45979</v>
      </c>
      <c r="Q6" s="5">
        <f t="shared" si="0"/>
        <v>45980</v>
      </c>
      <c r="R6" s="5">
        <f t="shared" si="0"/>
        <v>45981</v>
      </c>
      <c r="S6" s="5">
        <f t="shared" si="0"/>
        <v>45982</v>
      </c>
      <c r="T6" s="5">
        <f t="shared" si="0"/>
        <v>45983</v>
      </c>
      <c r="U6" s="5">
        <f t="shared" si="0"/>
        <v>45984</v>
      </c>
      <c r="V6" s="5">
        <f t="shared" si="0"/>
        <v>45985</v>
      </c>
      <c r="W6" s="5">
        <f t="shared" si="0"/>
        <v>45986</v>
      </c>
      <c r="X6" s="5">
        <f t="shared" si="0"/>
        <v>45987</v>
      </c>
      <c r="Y6" s="5">
        <f t="shared" si="0"/>
        <v>45988</v>
      </c>
      <c r="Z6" s="5">
        <f t="shared" si="0"/>
        <v>45989</v>
      </c>
      <c r="AA6" s="5">
        <f t="shared" si="0"/>
        <v>45990</v>
      </c>
      <c r="AB6" s="5">
        <f t="shared" si="0"/>
        <v>45991</v>
      </c>
      <c r="AC6" s="5">
        <f t="shared" si="0"/>
        <v>45992</v>
      </c>
      <c r="AD6" s="5">
        <f t="shared" si="0"/>
        <v>45993</v>
      </c>
      <c r="AE6" s="5">
        <f t="shared" si="0"/>
        <v>45994</v>
      </c>
      <c r="AF6" s="5">
        <f t="shared" si="0"/>
        <v>45995</v>
      </c>
      <c r="AG6" s="5">
        <f t="shared" si="0"/>
        <v>45996</v>
      </c>
      <c r="AH6" s="5">
        <f t="shared" si="0"/>
        <v>45997</v>
      </c>
      <c r="AI6" s="5">
        <f t="shared" si="0"/>
        <v>45998</v>
      </c>
      <c r="AJ6" s="5">
        <f t="shared" si="0"/>
        <v>45999</v>
      </c>
      <c r="AK6" s="5">
        <f t="shared" si="0"/>
        <v>46000</v>
      </c>
      <c r="AL6" s="5">
        <f t="shared" si="0"/>
        <v>46001</v>
      </c>
      <c r="AM6" s="5">
        <f t="shared" si="0"/>
        <v>46002</v>
      </c>
      <c r="AN6" s="5">
        <f t="shared" si="0"/>
        <v>46003</v>
      </c>
      <c r="AO6" s="5">
        <f t="shared" si="0"/>
        <v>46004</v>
      </c>
      <c r="AP6" s="5">
        <f t="shared" si="0"/>
        <v>46005</v>
      </c>
      <c r="AQ6" s="5">
        <f t="shared" si="0"/>
        <v>46006</v>
      </c>
      <c r="AR6" s="5">
        <f t="shared" si="0"/>
        <v>46007</v>
      </c>
      <c r="AS6" s="5">
        <f t="shared" si="0"/>
        <v>46008</v>
      </c>
      <c r="AT6" s="5">
        <f t="shared" si="0"/>
        <v>46009</v>
      </c>
      <c r="AU6" s="5">
        <f t="shared" si="0"/>
        <v>46010</v>
      </c>
      <c r="AV6" s="5">
        <f t="shared" si="0"/>
        <v>46011</v>
      </c>
      <c r="AW6" s="5">
        <f t="shared" si="0"/>
        <v>46012</v>
      </c>
      <c r="AX6" s="5">
        <f t="shared" si="0"/>
        <v>46013</v>
      </c>
      <c r="AY6" s="5">
        <f t="shared" si="0"/>
        <v>46014</v>
      </c>
      <c r="AZ6" s="5">
        <f t="shared" si="0"/>
        <v>46015</v>
      </c>
      <c r="BA6" s="5">
        <f t="shared" si="0"/>
        <v>46016</v>
      </c>
      <c r="BB6" s="5">
        <f t="shared" si="0"/>
        <v>46017</v>
      </c>
      <c r="BC6" s="5">
        <f t="shared" si="0"/>
        <v>46018</v>
      </c>
      <c r="BD6" s="5">
        <f t="shared" si="0"/>
        <v>46019</v>
      </c>
      <c r="BE6" s="5">
        <f t="shared" si="0"/>
        <v>46020</v>
      </c>
      <c r="BF6" s="5">
        <f t="shared" si="0"/>
        <v>46021</v>
      </c>
      <c r="BG6" s="5">
        <f t="shared" si="0"/>
        <v>46022</v>
      </c>
      <c r="BH6" s="5">
        <f t="shared" si="0"/>
        <v>46023</v>
      </c>
      <c r="BI6" s="5">
        <f t="shared" si="0"/>
        <v>46024</v>
      </c>
      <c r="BJ6" s="5">
        <f t="shared" si="0"/>
        <v>46025</v>
      </c>
      <c r="BK6" s="5">
        <f t="shared" si="0"/>
        <v>46026</v>
      </c>
      <c r="BL6" s="5">
        <f t="shared" si="0"/>
        <v>46027</v>
      </c>
      <c r="BM6" s="5">
        <f t="shared" si="0"/>
        <v>46028</v>
      </c>
      <c r="BN6" s="5">
        <f t="shared" si="0"/>
        <v>46029</v>
      </c>
      <c r="BO6" s="5">
        <f t="shared" si="0"/>
        <v>46030</v>
      </c>
    </row>
    <row r="7" spans="1:67" s="6" customFormat="1" ht="18.649999999999999" customHeight="1" x14ac:dyDescent="0.25">
      <c r="F7" s="15"/>
      <c r="G7" s="40"/>
      <c r="H7" s="7" t="str">
        <f>"S "&amp;WEEKNUM(H6,2)-1</f>
        <v>S 45</v>
      </c>
      <c r="I7" s="7" t="str">
        <f>IF(I8="L","S "&amp;WEEKNUM(I6,2)-1,"")</f>
        <v/>
      </c>
      <c r="J7" s="7" t="str">
        <f t="shared" ref="J7:BO7" si="1">IF(J8="L","S "&amp;WEEKNUM(J6,2)-1,"")</f>
        <v/>
      </c>
      <c r="K7" s="7" t="str">
        <f t="shared" si="1"/>
        <v/>
      </c>
      <c r="L7" s="7" t="str">
        <f t="shared" si="1"/>
        <v/>
      </c>
      <c r="M7" s="7" t="str">
        <f t="shared" si="1"/>
        <v/>
      </c>
      <c r="N7" s="7" t="str">
        <f t="shared" si="1"/>
        <v/>
      </c>
      <c r="O7" s="7" t="str">
        <f t="shared" si="1"/>
        <v>S 46</v>
      </c>
      <c r="P7" s="7" t="str">
        <f t="shared" si="1"/>
        <v/>
      </c>
      <c r="Q7" s="7" t="str">
        <f t="shared" si="1"/>
        <v/>
      </c>
      <c r="R7" s="7" t="str">
        <f t="shared" si="1"/>
        <v/>
      </c>
      <c r="S7" s="7" t="str">
        <f t="shared" si="1"/>
        <v/>
      </c>
      <c r="T7" s="7" t="str">
        <f t="shared" si="1"/>
        <v/>
      </c>
      <c r="U7" s="7" t="str">
        <f t="shared" si="1"/>
        <v/>
      </c>
      <c r="V7" s="7" t="str">
        <f t="shared" si="1"/>
        <v>S 47</v>
      </c>
      <c r="W7" s="7" t="str">
        <f t="shared" si="1"/>
        <v/>
      </c>
      <c r="X7" s="7" t="str">
        <f t="shared" si="1"/>
        <v/>
      </c>
      <c r="Y7" s="7" t="str">
        <f t="shared" si="1"/>
        <v/>
      </c>
      <c r="Z7" s="7" t="str">
        <f t="shared" si="1"/>
        <v/>
      </c>
      <c r="AA7" s="7" t="str">
        <f t="shared" si="1"/>
        <v/>
      </c>
      <c r="AB7" s="7" t="str">
        <f t="shared" si="1"/>
        <v/>
      </c>
      <c r="AC7" s="7" t="str">
        <f t="shared" si="1"/>
        <v>S 48</v>
      </c>
      <c r="AD7" s="7" t="str">
        <f t="shared" si="1"/>
        <v/>
      </c>
      <c r="AE7" s="7" t="str">
        <f t="shared" si="1"/>
        <v/>
      </c>
      <c r="AF7" s="7" t="str">
        <f t="shared" si="1"/>
        <v/>
      </c>
      <c r="AG7" s="7" t="str">
        <f t="shared" si="1"/>
        <v/>
      </c>
      <c r="AH7" s="7" t="str">
        <f t="shared" si="1"/>
        <v/>
      </c>
      <c r="AI7" s="7" t="str">
        <f t="shared" si="1"/>
        <v/>
      </c>
      <c r="AJ7" s="7" t="str">
        <f t="shared" si="1"/>
        <v>S 49</v>
      </c>
      <c r="AK7" s="7" t="str">
        <f t="shared" si="1"/>
        <v/>
      </c>
      <c r="AL7" s="7" t="str">
        <f t="shared" si="1"/>
        <v/>
      </c>
      <c r="AM7" s="7" t="str">
        <f t="shared" si="1"/>
        <v/>
      </c>
      <c r="AN7" s="7" t="str">
        <f t="shared" si="1"/>
        <v/>
      </c>
      <c r="AO7" s="7" t="str">
        <f t="shared" si="1"/>
        <v/>
      </c>
      <c r="AP7" s="7" t="str">
        <f t="shared" si="1"/>
        <v/>
      </c>
      <c r="AQ7" s="7" t="str">
        <f t="shared" si="1"/>
        <v>S 50</v>
      </c>
      <c r="AR7" s="7" t="str">
        <f t="shared" si="1"/>
        <v/>
      </c>
      <c r="AS7" s="7" t="str">
        <f t="shared" si="1"/>
        <v/>
      </c>
      <c r="AT7" s="7" t="str">
        <f t="shared" si="1"/>
        <v/>
      </c>
      <c r="AU7" s="7" t="str">
        <f t="shared" si="1"/>
        <v/>
      </c>
      <c r="AV7" s="7" t="str">
        <f t="shared" si="1"/>
        <v/>
      </c>
      <c r="AW7" s="7" t="str">
        <f t="shared" si="1"/>
        <v/>
      </c>
      <c r="AX7" s="7" t="str">
        <f t="shared" si="1"/>
        <v>S 51</v>
      </c>
      <c r="AY7" s="7" t="str">
        <f t="shared" si="1"/>
        <v/>
      </c>
      <c r="AZ7" s="7" t="str">
        <f t="shared" si="1"/>
        <v/>
      </c>
      <c r="BA7" s="7" t="str">
        <f t="shared" si="1"/>
        <v/>
      </c>
      <c r="BB7" s="7" t="str">
        <f t="shared" si="1"/>
        <v/>
      </c>
      <c r="BC7" s="7" t="str">
        <f t="shared" si="1"/>
        <v/>
      </c>
      <c r="BD7" s="7" t="str">
        <f t="shared" si="1"/>
        <v/>
      </c>
      <c r="BE7" s="7" t="str">
        <f t="shared" si="1"/>
        <v>S 52</v>
      </c>
      <c r="BF7" s="7" t="str">
        <f t="shared" si="1"/>
        <v/>
      </c>
      <c r="BG7" s="7" t="str">
        <f t="shared" si="1"/>
        <v/>
      </c>
      <c r="BH7" s="7" t="str">
        <f t="shared" si="1"/>
        <v/>
      </c>
      <c r="BI7" s="7" t="str">
        <f t="shared" si="1"/>
        <v/>
      </c>
      <c r="BJ7" s="7" t="str">
        <f t="shared" si="1"/>
        <v/>
      </c>
      <c r="BK7" s="7" t="str">
        <f t="shared" si="1"/>
        <v/>
      </c>
      <c r="BL7" s="7" t="str">
        <f t="shared" si="1"/>
        <v>S 1</v>
      </c>
      <c r="BM7" s="7" t="str">
        <f t="shared" si="1"/>
        <v/>
      </c>
      <c r="BN7" s="7" t="str">
        <f t="shared" si="1"/>
        <v/>
      </c>
      <c r="BO7" s="7" t="str">
        <f t="shared" si="1"/>
        <v/>
      </c>
    </row>
    <row r="8" spans="1:67" ht="13" hidden="1" customHeight="1" x14ac:dyDescent="0.25">
      <c r="B8" s="51" t="s">
        <v>9</v>
      </c>
      <c r="C8" s="51" t="s">
        <v>7</v>
      </c>
      <c r="D8" s="51" t="s">
        <v>10</v>
      </c>
      <c r="E8" s="51" t="s">
        <v>11</v>
      </c>
      <c r="F8" s="49" t="s">
        <v>12</v>
      </c>
      <c r="G8" s="41"/>
      <c r="H8" s="8" t="str">
        <f t="shared" ref="H8:BO8" si="2">VLOOKUP(WEEKDAY(H6,2),semaine,2,FALSE)</f>
        <v>L</v>
      </c>
      <c r="I8" s="8" t="str">
        <f t="shared" si="2"/>
        <v>M</v>
      </c>
      <c r="J8" s="8" t="str">
        <f t="shared" si="2"/>
        <v>M</v>
      </c>
      <c r="K8" s="8" t="str">
        <f t="shared" si="2"/>
        <v>J</v>
      </c>
      <c r="L8" s="8" t="str">
        <f t="shared" si="2"/>
        <v>V</v>
      </c>
      <c r="M8" s="8" t="str">
        <f t="shared" si="2"/>
        <v>S</v>
      </c>
      <c r="N8" s="8" t="str">
        <f t="shared" si="2"/>
        <v>D</v>
      </c>
      <c r="O8" s="8" t="str">
        <f t="shared" si="2"/>
        <v>L</v>
      </c>
      <c r="P8" s="8" t="str">
        <f t="shared" si="2"/>
        <v>M</v>
      </c>
      <c r="Q8" s="8" t="str">
        <f t="shared" si="2"/>
        <v>M</v>
      </c>
      <c r="R8" s="8" t="str">
        <f t="shared" si="2"/>
        <v>J</v>
      </c>
      <c r="S8" s="8" t="str">
        <f t="shared" si="2"/>
        <v>V</v>
      </c>
      <c r="T8" s="8" t="str">
        <f t="shared" si="2"/>
        <v>S</v>
      </c>
      <c r="U8" s="8" t="str">
        <f t="shared" si="2"/>
        <v>D</v>
      </c>
      <c r="V8" s="8" t="str">
        <f t="shared" si="2"/>
        <v>L</v>
      </c>
      <c r="W8" s="8" t="str">
        <f t="shared" si="2"/>
        <v>M</v>
      </c>
      <c r="X8" s="8" t="str">
        <f t="shared" si="2"/>
        <v>M</v>
      </c>
      <c r="Y8" s="8" t="str">
        <f t="shared" si="2"/>
        <v>J</v>
      </c>
      <c r="Z8" s="8" t="str">
        <f t="shared" si="2"/>
        <v>V</v>
      </c>
      <c r="AA8" s="8" t="str">
        <f t="shared" si="2"/>
        <v>S</v>
      </c>
      <c r="AB8" s="8" t="str">
        <f t="shared" si="2"/>
        <v>D</v>
      </c>
      <c r="AC8" s="8" t="str">
        <f t="shared" si="2"/>
        <v>L</v>
      </c>
      <c r="AD8" s="8" t="str">
        <f t="shared" si="2"/>
        <v>M</v>
      </c>
      <c r="AE8" s="8" t="str">
        <f t="shared" si="2"/>
        <v>M</v>
      </c>
      <c r="AF8" s="8" t="str">
        <f t="shared" si="2"/>
        <v>J</v>
      </c>
      <c r="AG8" s="8" t="str">
        <f t="shared" si="2"/>
        <v>V</v>
      </c>
      <c r="AH8" s="8" t="str">
        <f t="shared" si="2"/>
        <v>S</v>
      </c>
      <c r="AI8" s="8" t="str">
        <f t="shared" si="2"/>
        <v>D</v>
      </c>
      <c r="AJ8" s="8" t="str">
        <f t="shared" si="2"/>
        <v>L</v>
      </c>
      <c r="AK8" s="8" t="str">
        <f t="shared" si="2"/>
        <v>M</v>
      </c>
      <c r="AL8" s="8" t="str">
        <f t="shared" si="2"/>
        <v>M</v>
      </c>
      <c r="AM8" s="8" t="str">
        <f t="shared" si="2"/>
        <v>J</v>
      </c>
      <c r="AN8" s="8" t="str">
        <f t="shared" si="2"/>
        <v>V</v>
      </c>
      <c r="AO8" s="8" t="str">
        <f t="shared" si="2"/>
        <v>S</v>
      </c>
      <c r="AP8" s="8" t="str">
        <f t="shared" si="2"/>
        <v>D</v>
      </c>
      <c r="AQ8" s="8" t="str">
        <f t="shared" si="2"/>
        <v>L</v>
      </c>
      <c r="AR8" s="8" t="str">
        <f t="shared" si="2"/>
        <v>M</v>
      </c>
      <c r="AS8" s="8" t="str">
        <f t="shared" si="2"/>
        <v>M</v>
      </c>
      <c r="AT8" s="8" t="str">
        <f t="shared" si="2"/>
        <v>J</v>
      </c>
      <c r="AU8" s="8" t="str">
        <f t="shared" si="2"/>
        <v>V</v>
      </c>
      <c r="AV8" s="8" t="str">
        <f t="shared" si="2"/>
        <v>S</v>
      </c>
      <c r="AW8" s="8" t="str">
        <f t="shared" si="2"/>
        <v>D</v>
      </c>
      <c r="AX8" s="8" t="str">
        <f t="shared" si="2"/>
        <v>L</v>
      </c>
      <c r="AY8" s="8" t="str">
        <f t="shared" si="2"/>
        <v>M</v>
      </c>
      <c r="AZ8" s="8" t="str">
        <f t="shared" si="2"/>
        <v>M</v>
      </c>
      <c r="BA8" s="8" t="str">
        <f t="shared" si="2"/>
        <v>J</v>
      </c>
      <c r="BB8" s="8" t="str">
        <f t="shared" si="2"/>
        <v>V</v>
      </c>
      <c r="BC8" s="8" t="str">
        <f t="shared" si="2"/>
        <v>S</v>
      </c>
      <c r="BD8" s="8" t="str">
        <f t="shared" si="2"/>
        <v>D</v>
      </c>
      <c r="BE8" s="8" t="str">
        <f t="shared" si="2"/>
        <v>L</v>
      </c>
      <c r="BF8" s="8" t="str">
        <f t="shared" si="2"/>
        <v>M</v>
      </c>
      <c r="BG8" s="8" t="str">
        <f t="shared" si="2"/>
        <v>M</v>
      </c>
      <c r="BH8" s="8" t="str">
        <f t="shared" si="2"/>
        <v>J</v>
      </c>
      <c r="BI8" s="8" t="str">
        <f t="shared" si="2"/>
        <v>V</v>
      </c>
      <c r="BJ8" s="8" t="str">
        <f t="shared" si="2"/>
        <v>S</v>
      </c>
      <c r="BK8" s="8" t="str">
        <f t="shared" si="2"/>
        <v>D</v>
      </c>
      <c r="BL8" s="8" t="str">
        <f t="shared" si="2"/>
        <v>L</v>
      </c>
      <c r="BM8" s="8" t="str">
        <f t="shared" si="2"/>
        <v>M</v>
      </c>
      <c r="BN8" s="8" t="str">
        <f t="shared" si="2"/>
        <v>M</v>
      </c>
      <c r="BO8" s="8" t="str">
        <f t="shared" si="2"/>
        <v>J</v>
      </c>
    </row>
    <row r="9" spans="1:67" x14ac:dyDescent="0.25">
      <c r="B9" s="51"/>
      <c r="C9" s="51"/>
      <c r="D9" s="51"/>
      <c r="E9" s="51"/>
      <c r="F9" s="49"/>
      <c r="G9" s="41"/>
      <c r="H9" s="8">
        <f>DAY(H6)</f>
        <v>10</v>
      </c>
      <c r="I9" s="8">
        <f t="shared" ref="I9:BO9" si="3">DAY(I6)</f>
        <v>11</v>
      </c>
      <c r="J9" s="8">
        <f t="shared" si="3"/>
        <v>12</v>
      </c>
      <c r="K9" s="8">
        <f t="shared" si="3"/>
        <v>13</v>
      </c>
      <c r="L9" s="8">
        <f t="shared" si="3"/>
        <v>14</v>
      </c>
      <c r="M9" s="8">
        <f t="shared" si="3"/>
        <v>15</v>
      </c>
      <c r="N9" s="8">
        <f t="shared" si="3"/>
        <v>16</v>
      </c>
      <c r="O9" s="8">
        <f t="shared" si="3"/>
        <v>17</v>
      </c>
      <c r="P9" s="8">
        <f t="shared" si="3"/>
        <v>18</v>
      </c>
      <c r="Q9" s="8">
        <f t="shared" si="3"/>
        <v>19</v>
      </c>
      <c r="R9" s="8">
        <f t="shared" si="3"/>
        <v>20</v>
      </c>
      <c r="S9" s="8">
        <f t="shared" si="3"/>
        <v>21</v>
      </c>
      <c r="T9" s="8">
        <f t="shared" si="3"/>
        <v>22</v>
      </c>
      <c r="U9" s="8">
        <f t="shared" si="3"/>
        <v>23</v>
      </c>
      <c r="V9" s="8">
        <f t="shared" si="3"/>
        <v>24</v>
      </c>
      <c r="W9" s="8">
        <f t="shared" si="3"/>
        <v>25</v>
      </c>
      <c r="X9" s="8">
        <f t="shared" si="3"/>
        <v>26</v>
      </c>
      <c r="Y9" s="8">
        <f t="shared" si="3"/>
        <v>27</v>
      </c>
      <c r="Z9" s="8">
        <f t="shared" si="3"/>
        <v>28</v>
      </c>
      <c r="AA9" s="8">
        <f t="shared" si="3"/>
        <v>29</v>
      </c>
      <c r="AB9" s="8">
        <f t="shared" si="3"/>
        <v>30</v>
      </c>
      <c r="AC9" s="8">
        <f t="shared" si="3"/>
        <v>1</v>
      </c>
      <c r="AD9" s="8">
        <f t="shared" si="3"/>
        <v>2</v>
      </c>
      <c r="AE9" s="8">
        <f t="shared" si="3"/>
        <v>3</v>
      </c>
      <c r="AF9" s="8">
        <f t="shared" si="3"/>
        <v>4</v>
      </c>
      <c r="AG9" s="8">
        <f t="shared" si="3"/>
        <v>5</v>
      </c>
      <c r="AH9" s="8">
        <f t="shared" si="3"/>
        <v>6</v>
      </c>
      <c r="AI9" s="8">
        <f t="shared" si="3"/>
        <v>7</v>
      </c>
      <c r="AJ9" s="8">
        <f t="shared" si="3"/>
        <v>8</v>
      </c>
      <c r="AK9" s="8">
        <f t="shared" si="3"/>
        <v>9</v>
      </c>
      <c r="AL9" s="8">
        <f t="shared" si="3"/>
        <v>10</v>
      </c>
      <c r="AM9" s="8">
        <f t="shared" si="3"/>
        <v>11</v>
      </c>
      <c r="AN9" s="8">
        <f t="shared" si="3"/>
        <v>12</v>
      </c>
      <c r="AO9" s="8">
        <f t="shared" si="3"/>
        <v>13</v>
      </c>
      <c r="AP9" s="8">
        <f t="shared" si="3"/>
        <v>14</v>
      </c>
      <c r="AQ9" s="8">
        <f t="shared" si="3"/>
        <v>15</v>
      </c>
      <c r="AR9" s="8">
        <f t="shared" si="3"/>
        <v>16</v>
      </c>
      <c r="AS9" s="8">
        <f t="shared" si="3"/>
        <v>17</v>
      </c>
      <c r="AT9" s="8">
        <f t="shared" si="3"/>
        <v>18</v>
      </c>
      <c r="AU9" s="8">
        <f t="shared" si="3"/>
        <v>19</v>
      </c>
      <c r="AV9" s="8">
        <f t="shared" si="3"/>
        <v>20</v>
      </c>
      <c r="AW9" s="8">
        <f t="shared" si="3"/>
        <v>21</v>
      </c>
      <c r="AX9" s="8">
        <f t="shared" si="3"/>
        <v>22</v>
      </c>
      <c r="AY9" s="8">
        <f t="shared" si="3"/>
        <v>23</v>
      </c>
      <c r="AZ9" s="8">
        <f t="shared" si="3"/>
        <v>24</v>
      </c>
      <c r="BA9" s="8">
        <f t="shared" si="3"/>
        <v>25</v>
      </c>
      <c r="BB9" s="8">
        <f t="shared" si="3"/>
        <v>26</v>
      </c>
      <c r="BC9" s="8">
        <f t="shared" si="3"/>
        <v>27</v>
      </c>
      <c r="BD9" s="8">
        <f t="shared" si="3"/>
        <v>28</v>
      </c>
      <c r="BE9" s="8">
        <f t="shared" si="3"/>
        <v>29</v>
      </c>
      <c r="BF9" s="8">
        <f t="shared" si="3"/>
        <v>30</v>
      </c>
      <c r="BG9" s="8">
        <f t="shared" si="3"/>
        <v>31</v>
      </c>
      <c r="BH9" s="8">
        <f t="shared" si="3"/>
        <v>1</v>
      </c>
      <c r="BI9" s="8">
        <f t="shared" si="3"/>
        <v>2</v>
      </c>
      <c r="BJ9" s="8">
        <f t="shared" si="3"/>
        <v>3</v>
      </c>
      <c r="BK9" s="8">
        <f t="shared" si="3"/>
        <v>4</v>
      </c>
      <c r="BL9" s="8">
        <f t="shared" si="3"/>
        <v>5</v>
      </c>
      <c r="BM9" s="8">
        <f t="shared" si="3"/>
        <v>6</v>
      </c>
      <c r="BN9" s="8">
        <f t="shared" si="3"/>
        <v>7</v>
      </c>
      <c r="BO9" s="8">
        <f t="shared" si="3"/>
        <v>8</v>
      </c>
    </row>
    <row r="10" spans="1:67" ht="13" customHeight="1" x14ac:dyDescent="0.3">
      <c r="A10" s="33">
        <v>1</v>
      </c>
      <c r="B10" s="34" t="s">
        <v>51</v>
      </c>
      <c r="C10" s="17"/>
      <c r="D10" s="18"/>
      <c r="E10" s="17"/>
      <c r="F10" s="23"/>
      <c r="G10" s="42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</row>
    <row r="11" spans="1:67" ht="13" customHeight="1" x14ac:dyDescent="0.3">
      <c r="A11" s="1" t="s">
        <v>14</v>
      </c>
      <c r="B11" s="1" t="s">
        <v>53</v>
      </c>
      <c r="C11" s="22">
        <v>45971</v>
      </c>
      <c r="D11" s="9">
        <f>NETWORKDAYS(C11,E11)</f>
        <v>4</v>
      </c>
      <c r="E11" s="22">
        <v>45974</v>
      </c>
      <c r="F11" s="12">
        <v>0</v>
      </c>
      <c r="G11" s="43">
        <f>C11+F11*(E11-C11)</f>
        <v>45971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3" customHeight="1" x14ac:dyDescent="0.3">
      <c r="A12" s="1" t="s">
        <v>15</v>
      </c>
      <c r="B12" s="1" t="s">
        <v>53</v>
      </c>
      <c r="C12" s="22">
        <v>45974</v>
      </c>
      <c r="D12" s="9">
        <f t="shared" ref="D12:D14" si="4">NETWORKDAYS(C12,E12)</f>
        <v>5</v>
      </c>
      <c r="E12" s="22">
        <v>45980</v>
      </c>
      <c r="F12" s="12">
        <v>0</v>
      </c>
      <c r="G12" s="43">
        <f>C12+F12*(E12-C12)</f>
        <v>45974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2" x14ac:dyDescent="0.3">
      <c r="A13" s="1" t="s">
        <v>16</v>
      </c>
      <c r="B13" s="1" t="s">
        <v>53</v>
      </c>
      <c r="C13" s="22">
        <v>45980</v>
      </c>
      <c r="D13" s="9">
        <f t="shared" si="4"/>
        <v>6</v>
      </c>
      <c r="E13" s="22">
        <v>45987</v>
      </c>
      <c r="F13" s="12">
        <v>0</v>
      </c>
      <c r="G13" s="43">
        <f>C13+F13*(E13-C13)</f>
        <v>45980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2" x14ac:dyDescent="0.3">
      <c r="A14" s="1" t="s">
        <v>46</v>
      </c>
      <c r="B14" s="45" t="s">
        <v>50</v>
      </c>
      <c r="C14" s="22">
        <v>45971</v>
      </c>
      <c r="D14" s="9">
        <f t="shared" si="4"/>
        <v>17</v>
      </c>
      <c r="E14" s="22">
        <v>45993</v>
      </c>
      <c r="F14" s="12">
        <v>0</v>
      </c>
      <c r="G14" s="43">
        <f>C14+F14*(E14-C14)</f>
        <v>45971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3" customHeight="1" x14ac:dyDescent="0.3">
      <c r="A15" s="35">
        <v>2</v>
      </c>
      <c r="B15" s="34" t="s">
        <v>52</v>
      </c>
      <c r="C15" s="28"/>
      <c r="D15" s="20"/>
      <c r="E15" s="29"/>
      <c r="F15" s="30"/>
      <c r="G15" s="44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</row>
    <row r="16" spans="1:67" ht="13" customHeight="1" x14ac:dyDescent="0.3">
      <c r="A16" s="6" t="s">
        <v>19</v>
      </c>
      <c r="B16" s="1" t="s">
        <v>53</v>
      </c>
      <c r="C16" s="22">
        <v>45987</v>
      </c>
      <c r="D16" s="9">
        <f>NETWORKDAYS(C16,E16)</f>
        <v>8</v>
      </c>
      <c r="E16" s="22">
        <v>45996</v>
      </c>
      <c r="F16" s="12">
        <v>0</v>
      </c>
      <c r="G16" s="43">
        <f>C16+F16*(E16-C16)</f>
        <v>45987</v>
      </c>
    </row>
    <row r="17" spans="1:7" ht="13" customHeight="1" x14ac:dyDescent="0.3">
      <c r="A17" s="6" t="s">
        <v>21</v>
      </c>
      <c r="B17" s="1" t="s">
        <v>53</v>
      </c>
      <c r="C17" s="22">
        <v>45996</v>
      </c>
      <c r="D17" s="9">
        <f t="shared" ref="D17:D19" si="5">NETWORKDAYS(C17,E17)</f>
        <v>6</v>
      </c>
      <c r="E17" s="22">
        <v>46003</v>
      </c>
      <c r="F17" s="12">
        <v>0</v>
      </c>
      <c r="G17" s="43">
        <f>C17+F17*(E17-C17)</f>
        <v>45996</v>
      </c>
    </row>
    <row r="18" spans="1:7" ht="13" customHeight="1" x14ac:dyDescent="0.3">
      <c r="A18" s="6" t="s">
        <v>23</v>
      </c>
      <c r="B18" s="1" t="s">
        <v>53</v>
      </c>
      <c r="C18" s="22">
        <v>46003</v>
      </c>
      <c r="D18" s="9">
        <f t="shared" si="5"/>
        <v>6</v>
      </c>
      <c r="E18" s="22">
        <v>46012</v>
      </c>
      <c r="F18" s="12">
        <v>0</v>
      </c>
      <c r="G18" s="43">
        <f>C18+F18*(E18-C18)</f>
        <v>46003</v>
      </c>
    </row>
    <row r="19" spans="1:7" ht="12" x14ac:dyDescent="0.3">
      <c r="A19" s="6" t="s">
        <v>47</v>
      </c>
      <c r="B19" s="45" t="s">
        <v>50</v>
      </c>
      <c r="C19" s="22">
        <v>45987</v>
      </c>
      <c r="D19" s="9">
        <f t="shared" si="5"/>
        <v>23</v>
      </c>
      <c r="E19" s="22">
        <v>46017</v>
      </c>
      <c r="F19" s="12">
        <v>0</v>
      </c>
      <c r="G19" s="43">
        <f>C19+F19*(E19-C19)</f>
        <v>45987</v>
      </c>
    </row>
    <row r="20" spans="1:7" ht="13" customHeight="1" x14ac:dyDescent="0.25">
      <c r="E20" s="25" t="str">
        <f t="shared" ref="E20:E29" si="6">IF(B20="","",IF($C$4="OUI",WORKDAY(C20,IF(WEEKDAY(C20,2)&gt;=6,D20,D20-1)),C20+D20-1))</f>
        <v/>
      </c>
    </row>
    <row r="21" spans="1:7" ht="13" customHeight="1" x14ac:dyDescent="0.25">
      <c r="E21" s="25" t="str">
        <f t="shared" si="6"/>
        <v/>
      </c>
    </row>
    <row r="22" spans="1:7" ht="13" customHeight="1" x14ac:dyDescent="0.25">
      <c r="E22" s="25" t="str">
        <f t="shared" si="6"/>
        <v/>
      </c>
    </row>
    <row r="23" spans="1:7" ht="13" customHeight="1" x14ac:dyDescent="0.25">
      <c r="E23" s="25" t="str">
        <f t="shared" si="6"/>
        <v/>
      </c>
    </row>
    <row r="24" spans="1:7" x14ac:dyDescent="0.25">
      <c r="E24" s="25" t="str">
        <f t="shared" si="6"/>
        <v/>
      </c>
    </row>
    <row r="25" spans="1:7" x14ac:dyDescent="0.25">
      <c r="E25" s="25" t="str">
        <f t="shared" si="6"/>
        <v/>
      </c>
    </row>
    <row r="26" spans="1:7" x14ac:dyDescent="0.25">
      <c r="E26" s="25" t="str">
        <f t="shared" si="6"/>
        <v/>
      </c>
    </row>
    <row r="27" spans="1:7" x14ac:dyDescent="0.25">
      <c r="E27" s="25" t="str">
        <f t="shared" si="6"/>
        <v/>
      </c>
    </row>
    <row r="28" spans="1:7" x14ac:dyDescent="0.25">
      <c r="E28" s="25" t="str">
        <f t="shared" si="6"/>
        <v/>
      </c>
    </row>
    <row r="29" spans="1:7" x14ac:dyDescent="0.25">
      <c r="E29" s="25" t="str">
        <f t="shared" si="6"/>
        <v/>
      </c>
    </row>
  </sheetData>
  <mergeCells count="13">
    <mergeCell ref="F8:F9"/>
    <mergeCell ref="A5:B5"/>
    <mergeCell ref="A6:E6"/>
    <mergeCell ref="B8:B9"/>
    <mergeCell ref="C8:C9"/>
    <mergeCell ref="D8:D9"/>
    <mergeCell ref="E8:E9"/>
    <mergeCell ref="A4:B4"/>
    <mergeCell ref="A1:E1"/>
    <mergeCell ref="A2:B2"/>
    <mergeCell ref="C2:E2"/>
    <mergeCell ref="A3:B3"/>
    <mergeCell ref="C3:E3"/>
  </mergeCells>
  <conditionalFormatting sqref="F10 F20:F32">
    <cfRule type="expression" dxfId="46" priority="22">
      <formula>$B10&lt;&gt;""</formula>
    </cfRule>
  </conditionalFormatting>
  <conditionalFormatting sqref="F11:F14">
    <cfRule type="expression" dxfId="45" priority="31">
      <formula>#REF!&lt;&gt;""</formula>
    </cfRule>
  </conditionalFormatting>
  <conditionalFormatting sqref="F15">
    <cfRule type="expression" dxfId="44" priority="1">
      <formula>$B15&lt;&gt;""</formula>
    </cfRule>
  </conditionalFormatting>
  <conditionalFormatting sqref="F16:F19">
    <cfRule type="expression" dxfId="43" priority="18">
      <formula>#REF!&lt;&gt;""</formula>
    </cfRule>
  </conditionalFormatting>
  <conditionalFormatting sqref="H7:BO7">
    <cfRule type="expression" dxfId="42" priority="25">
      <formula>H7&lt;&gt;""</formula>
    </cfRule>
  </conditionalFormatting>
  <conditionalFormatting sqref="H11:BO14">
    <cfRule type="expression" dxfId="41" priority="32" stopIfTrue="1">
      <formula>#REF!=""</formula>
    </cfRule>
    <cfRule type="expression" dxfId="40" priority="33">
      <formula>AND(H$6&gt;=$C11,H$6&lt;=$E11,H$6&lt;=$G11,$F11&gt;0)</formula>
    </cfRule>
    <cfRule type="expression" dxfId="39" priority="34">
      <formula>AND(H$6&gt;=$C11,H$6&lt;=$E11,H$6&gt;=$G11,H$6&gt;=TODAY())</formula>
    </cfRule>
    <cfRule type="expression" dxfId="38" priority="35">
      <formula>AND(H$6&gt;=$C11,H$6&lt;=$E11,H$6&gt;=$G11)</formula>
    </cfRule>
    <cfRule type="expression" dxfId="37" priority="36">
      <formula>AND(H$6=$G$2,#REF!&lt;&gt;"")</formula>
    </cfRule>
  </conditionalFormatting>
  <conditionalFormatting sqref="H6:BO10 H15:BO29">
    <cfRule type="expression" dxfId="36" priority="30">
      <formula>AND(H$6=$G$2,$B6&lt;&gt;"")</formula>
    </cfRule>
  </conditionalFormatting>
  <conditionalFormatting sqref="H15:BO29">
    <cfRule type="expression" dxfId="35" priority="26" stopIfTrue="1">
      <formula>$B15=""</formula>
    </cfRule>
    <cfRule type="expression" dxfId="34" priority="27">
      <formula>AND(H$6&gt;=$C15,H$6&lt;=$E15,H$6&lt;=$G15,$F15&gt;0)</formula>
    </cfRule>
    <cfRule type="expression" dxfId="33" priority="28">
      <formula>AND(H$6&gt;=$C15,H$6&lt;=$E15,H$6&gt;=$G15,H$6&gt;=TODAY())</formula>
    </cfRule>
    <cfRule type="expression" dxfId="32" priority="29">
      <formula>AND(H$6&gt;=$C15,H$6&lt;=$E15,H$6&gt;=$G15)</formula>
    </cfRule>
  </conditionalFormatting>
  <conditionalFormatting sqref="I6:BO6">
    <cfRule type="expression" dxfId="31" priority="24">
      <formula>I9&lt;&gt;1</formula>
    </cfRule>
  </conditionalFormatting>
  <conditionalFormatting sqref="I6:BO9">
    <cfRule type="expression" dxfId="30" priority="23">
      <formula>I$9=1</formula>
    </cfRule>
  </conditionalFormatting>
  <dataValidations count="1">
    <dataValidation type="list" allowBlank="1" showInputMessage="1" showErrorMessage="1" sqref="C4:E4" xr:uid="{0A17B4EB-AD13-4DE0-9976-6320BF6B74F6}">
      <formula1>ouinon</formula1>
    </dataValidation>
  </dataValidations>
  <pageMargins left="0.25" right="0.25" top="0.75" bottom="0.75" header="0.3" footer="0.3"/>
  <pageSetup paperSize="9" scale="6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croll Bar 1">
              <controlPr defaultSize="0" autoPict="0">
                <anchor moveWithCells="1">
                  <from>
                    <xdr:col>7</xdr:col>
                    <xdr:colOff>38100</xdr:colOff>
                    <xdr:row>1</xdr:row>
                    <xdr:rowOff>31750</xdr:rowOff>
                  </from>
                  <to>
                    <xdr:col>66</xdr:col>
                    <xdr:colOff>133350</xdr:colOff>
                    <xdr:row>2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O76"/>
  <sheetViews>
    <sheetView showGridLines="0" zoomScale="85" zoomScaleNormal="85" workbookViewId="0">
      <pane ySplit="9" topLeftCell="A10" activePane="bottomLeft" state="frozen"/>
      <selection pane="bottomLeft" activeCell="G22" sqref="G22"/>
    </sheetView>
  </sheetViews>
  <sheetFormatPr baseColWidth="10" defaultColWidth="11" defaultRowHeight="10.5" x14ac:dyDescent="0.25"/>
  <cols>
    <col min="1" max="1" width="7.54296875" style="6" bestFit="1" customWidth="1"/>
    <col min="2" max="2" width="39.08984375" style="1" bestFit="1" customWidth="1"/>
    <col min="3" max="3" width="9.81640625" style="6" bestFit="1" customWidth="1"/>
    <col min="4" max="4" width="4.54296875" style="1" bestFit="1" customWidth="1"/>
    <col min="5" max="5" width="8.6328125" style="6" bestFit="1" customWidth="1"/>
    <col min="6" max="6" width="5.453125" style="15" customWidth="1"/>
    <col min="7" max="7" width="8.7265625" style="10" bestFit="1" customWidth="1"/>
    <col min="8" max="67" width="2.54296875" style="1" customWidth="1"/>
    <col min="68" max="16384" width="11" style="1"/>
  </cols>
  <sheetData>
    <row r="1" spans="1:67" ht="25" customHeight="1" x14ac:dyDescent="0.35">
      <c r="A1" s="47" t="s">
        <v>0</v>
      </c>
      <c r="B1" s="47"/>
      <c r="C1" s="54"/>
      <c r="D1" s="54"/>
      <c r="E1" s="54"/>
      <c r="G1" s="1">
        <v>0</v>
      </c>
    </row>
    <row r="2" spans="1:67" ht="12" x14ac:dyDescent="0.3">
      <c r="A2" s="46" t="s">
        <v>1</v>
      </c>
      <c r="B2" s="46"/>
      <c r="C2" s="48" t="s">
        <v>2</v>
      </c>
      <c r="D2" s="48"/>
      <c r="E2" s="48"/>
      <c r="G2" s="2">
        <f ca="1">TODAY()</f>
        <v>45974</v>
      </c>
    </row>
    <row r="3" spans="1:67" ht="12" x14ac:dyDescent="0.3">
      <c r="A3" s="46" t="s">
        <v>3</v>
      </c>
      <c r="B3" s="46"/>
      <c r="C3" s="48" t="s">
        <v>4</v>
      </c>
      <c r="D3" s="48"/>
      <c r="E3" s="48"/>
      <c r="G3" s="2"/>
    </row>
    <row r="4" spans="1:67" ht="12" x14ac:dyDescent="0.3">
      <c r="A4" s="46" t="s">
        <v>5</v>
      </c>
      <c r="B4" s="46"/>
      <c r="C4" s="26" t="s">
        <v>6</v>
      </c>
      <c r="D4" s="21"/>
      <c r="E4" s="24"/>
      <c r="G4" s="2"/>
    </row>
    <row r="5" spans="1:67" ht="12" x14ac:dyDescent="0.3">
      <c r="A5" s="46" t="s">
        <v>7</v>
      </c>
      <c r="B5" s="46"/>
      <c r="C5" s="22">
        <v>45341</v>
      </c>
      <c r="D5" s="21"/>
      <c r="E5" s="24"/>
      <c r="G5" s="2"/>
    </row>
    <row r="6" spans="1:67" s="3" customFormat="1" ht="30.5" x14ac:dyDescent="0.25">
      <c r="A6" s="50" t="s">
        <v>8</v>
      </c>
      <c r="B6" s="52"/>
      <c r="C6" s="52"/>
      <c r="D6" s="52"/>
      <c r="E6" s="53"/>
      <c r="F6" s="14"/>
      <c r="G6" s="11"/>
      <c r="H6" s="4">
        <f>C5+G1</f>
        <v>45341</v>
      </c>
      <c r="I6" s="5">
        <f>H6+1</f>
        <v>45342</v>
      </c>
      <c r="J6" s="5">
        <f t="shared" ref="J6:BO6" si="0">I6+1</f>
        <v>45343</v>
      </c>
      <c r="K6" s="5">
        <f t="shared" si="0"/>
        <v>45344</v>
      </c>
      <c r="L6" s="5">
        <f t="shared" si="0"/>
        <v>45345</v>
      </c>
      <c r="M6" s="5">
        <f t="shared" si="0"/>
        <v>45346</v>
      </c>
      <c r="N6" s="5">
        <f t="shared" si="0"/>
        <v>45347</v>
      </c>
      <c r="O6" s="5">
        <f t="shared" si="0"/>
        <v>45348</v>
      </c>
      <c r="P6" s="5">
        <f t="shared" si="0"/>
        <v>45349</v>
      </c>
      <c r="Q6" s="5">
        <f t="shared" si="0"/>
        <v>45350</v>
      </c>
      <c r="R6" s="5">
        <f t="shared" si="0"/>
        <v>45351</v>
      </c>
      <c r="S6" s="5">
        <f t="shared" si="0"/>
        <v>45352</v>
      </c>
      <c r="T6" s="5">
        <f t="shared" si="0"/>
        <v>45353</v>
      </c>
      <c r="U6" s="5">
        <f t="shared" si="0"/>
        <v>45354</v>
      </c>
      <c r="V6" s="5">
        <f t="shared" si="0"/>
        <v>45355</v>
      </c>
      <c r="W6" s="5">
        <f t="shared" si="0"/>
        <v>45356</v>
      </c>
      <c r="X6" s="5">
        <f t="shared" si="0"/>
        <v>45357</v>
      </c>
      <c r="Y6" s="5">
        <f t="shared" si="0"/>
        <v>45358</v>
      </c>
      <c r="Z6" s="5">
        <f t="shared" si="0"/>
        <v>45359</v>
      </c>
      <c r="AA6" s="5">
        <f t="shared" si="0"/>
        <v>45360</v>
      </c>
      <c r="AB6" s="5">
        <f t="shared" si="0"/>
        <v>45361</v>
      </c>
      <c r="AC6" s="5">
        <f t="shared" si="0"/>
        <v>45362</v>
      </c>
      <c r="AD6" s="5">
        <f t="shared" si="0"/>
        <v>45363</v>
      </c>
      <c r="AE6" s="5">
        <f t="shared" si="0"/>
        <v>45364</v>
      </c>
      <c r="AF6" s="5">
        <f t="shared" si="0"/>
        <v>45365</v>
      </c>
      <c r="AG6" s="5">
        <f t="shared" si="0"/>
        <v>45366</v>
      </c>
      <c r="AH6" s="5">
        <f t="shared" si="0"/>
        <v>45367</v>
      </c>
      <c r="AI6" s="5">
        <f t="shared" si="0"/>
        <v>45368</v>
      </c>
      <c r="AJ6" s="5">
        <f t="shared" si="0"/>
        <v>45369</v>
      </c>
      <c r="AK6" s="5">
        <f t="shared" si="0"/>
        <v>45370</v>
      </c>
      <c r="AL6" s="5">
        <f t="shared" si="0"/>
        <v>45371</v>
      </c>
      <c r="AM6" s="5">
        <f t="shared" si="0"/>
        <v>45372</v>
      </c>
      <c r="AN6" s="5">
        <f t="shared" si="0"/>
        <v>45373</v>
      </c>
      <c r="AO6" s="5">
        <f t="shared" si="0"/>
        <v>45374</v>
      </c>
      <c r="AP6" s="5">
        <f t="shared" si="0"/>
        <v>45375</v>
      </c>
      <c r="AQ6" s="5">
        <f t="shared" si="0"/>
        <v>45376</v>
      </c>
      <c r="AR6" s="5">
        <f t="shared" si="0"/>
        <v>45377</v>
      </c>
      <c r="AS6" s="5">
        <f t="shared" si="0"/>
        <v>45378</v>
      </c>
      <c r="AT6" s="5">
        <f t="shared" si="0"/>
        <v>45379</v>
      </c>
      <c r="AU6" s="5">
        <f t="shared" si="0"/>
        <v>45380</v>
      </c>
      <c r="AV6" s="5">
        <f t="shared" si="0"/>
        <v>45381</v>
      </c>
      <c r="AW6" s="5">
        <f t="shared" si="0"/>
        <v>45382</v>
      </c>
      <c r="AX6" s="5">
        <f t="shared" si="0"/>
        <v>45383</v>
      </c>
      <c r="AY6" s="5">
        <f t="shared" si="0"/>
        <v>45384</v>
      </c>
      <c r="AZ6" s="5">
        <f t="shared" si="0"/>
        <v>45385</v>
      </c>
      <c r="BA6" s="5">
        <f t="shared" si="0"/>
        <v>45386</v>
      </c>
      <c r="BB6" s="5">
        <f t="shared" si="0"/>
        <v>45387</v>
      </c>
      <c r="BC6" s="5">
        <f t="shared" si="0"/>
        <v>45388</v>
      </c>
      <c r="BD6" s="5">
        <f t="shared" si="0"/>
        <v>45389</v>
      </c>
      <c r="BE6" s="5">
        <f t="shared" si="0"/>
        <v>45390</v>
      </c>
      <c r="BF6" s="5">
        <f t="shared" si="0"/>
        <v>45391</v>
      </c>
      <c r="BG6" s="5">
        <f t="shared" si="0"/>
        <v>45392</v>
      </c>
      <c r="BH6" s="5">
        <f t="shared" si="0"/>
        <v>45393</v>
      </c>
      <c r="BI6" s="5">
        <f t="shared" si="0"/>
        <v>45394</v>
      </c>
      <c r="BJ6" s="5">
        <f t="shared" si="0"/>
        <v>45395</v>
      </c>
      <c r="BK6" s="5">
        <f t="shared" si="0"/>
        <v>45396</v>
      </c>
      <c r="BL6" s="5">
        <f t="shared" si="0"/>
        <v>45397</v>
      </c>
      <c r="BM6" s="5">
        <f t="shared" si="0"/>
        <v>45398</v>
      </c>
      <c r="BN6" s="5">
        <f t="shared" si="0"/>
        <v>45399</v>
      </c>
      <c r="BO6" s="5">
        <f t="shared" si="0"/>
        <v>45400</v>
      </c>
    </row>
    <row r="7" spans="1:67" s="6" customFormat="1" ht="18.649999999999999" customHeight="1" x14ac:dyDescent="0.25">
      <c r="F7" s="15"/>
      <c r="G7" s="12"/>
      <c r="H7" s="7" t="str">
        <f>"S "&amp;WEEKNUM(H6,2)-1</f>
        <v>S 7</v>
      </c>
      <c r="I7" s="7" t="str">
        <f>IF(I8="L","S "&amp;WEEKNUM(I6,2)-1,"")</f>
        <v/>
      </c>
      <c r="J7" s="7" t="str">
        <f t="shared" ref="J7:BO7" si="1">IF(J8="L","S "&amp;WEEKNUM(J6,2)-1,"")</f>
        <v/>
      </c>
      <c r="K7" s="7" t="str">
        <f t="shared" si="1"/>
        <v/>
      </c>
      <c r="L7" s="7" t="str">
        <f t="shared" si="1"/>
        <v/>
      </c>
      <c r="M7" s="7" t="str">
        <f t="shared" si="1"/>
        <v/>
      </c>
      <c r="N7" s="7" t="str">
        <f t="shared" si="1"/>
        <v/>
      </c>
      <c r="O7" s="7" t="str">
        <f t="shared" si="1"/>
        <v>S 8</v>
      </c>
      <c r="P7" s="7" t="str">
        <f t="shared" si="1"/>
        <v/>
      </c>
      <c r="Q7" s="7" t="str">
        <f t="shared" si="1"/>
        <v/>
      </c>
      <c r="R7" s="7" t="str">
        <f t="shared" si="1"/>
        <v/>
      </c>
      <c r="S7" s="7" t="str">
        <f t="shared" si="1"/>
        <v/>
      </c>
      <c r="T7" s="7" t="str">
        <f t="shared" si="1"/>
        <v/>
      </c>
      <c r="U7" s="7" t="str">
        <f t="shared" si="1"/>
        <v/>
      </c>
      <c r="V7" s="7" t="str">
        <f t="shared" si="1"/>
        <v>S 9</v>
      </c>
      <c r="W7" s="7" t="str">
        <f t="shared" si="1"/>
        <v/>
      </c>
      <c r="X7" s="7" t="str">
        <f t="shared" si="1"/>
        <v/>
      </c>
      <c r="Y7" s="7" t="str">
        <f t="shared" si="1"/>
        <v/>
      </c>
      <c r="Z7" s="7" t="str">
        <f t="shared" si="1"/>
        <v/>
      </c>
      <c r="AA7" s="7" t="str">
        <f t="shared" si="1"/>
        <v/>
      </c>
      <c r="AB7" s="7" t="str">
        <f t="shared" si="1"/>
        <v/>
      </c>
      <c r="AC7" s="7" t="str">
        <f t="shared" si="1"/>
        <v>S 10</v>
      </c>
      <c r="AD7" s="7" t="str">
        <f t="shared" si="1"/>
        <v/>
      </c>
      <c r="AE7" s="7" t="str">
        <f t="shared" si="1"/>
        <v/>
      </c>
      <c r="AF7" s="7" t="str">
        <f t="shared" si="1"/>
        <v/>
      </c>
      <c r="AG7" s="7" t="str">
        <f t="shared" si="1"/>
        <v/>
      </c>
      <c r="AH7" s="7" t="str">
        <f t="shared" si="1"/>
        <v/>
      </c>
      <c r="AI7" s="7" t="str">
        <f t="shared" si="1"/>
        <v/>
      </c>
      <c r="AJ7" s="7" t="str">
        <f t="shared" si="1"/>
        <v>S 11</v>
      </c>
      <c r="AK7" s="7" t="str">
        <f t="shared" si="1"/>
        <v/>
      </c>
      <c r="AL7" s="7" t="str">
        <f t="shared" si="1"/>
        <v/>
      </c>
      <c r="AM7" s="7" t="str">
        <f t="shared" si="1"/>
        <v/>
      </c>
      <c r="AN7" s="7" t="str">
        <f t="shared" si="1"/>
        <v/>
      </c>
      <c r="AO7" s="7" t="str">
        <f t="shared" si="1"/>
        <v/>
      </c>
      <c r="AP7" s="7" t="str">
        <f t="shared" si="1"/>
        <v/>
      </c>
      <c r="AQ7" s="7" t="str">
        <f t="shared" si="1"/>
        <v>S 12</v>
      </c>
      <c r="AR7" s="7" t="str">
        <f t="shared" si="1"/>
        <v/>
      </c>
      <c r="AS7" s="7" t="str">
        <f t="shared" si="1"/>
        <v/>
      </c>
      <c r="AT7" s="7" t="str">
        <f t="shared" si="1"/>
        <v/>
      </c>
      <c r="AU7" s="7" t="str">
        <f t="shared" si="1"/>
        <v/>
      </c>
      <c r="AV7" s="7" t="str">
        <f t="shared" si="1"/>
        <v/>
      </c>
      <c r="AW7" s="7" t="str">
        <f t="shared" si="1"/>
        <v/>
      </c>
      <c r="AX7" s="7" t="str">
        <f t="shared" si="1"/>
        <v>S 13</v>
      </c>
      <c r="AY7" s="7" t="str">
        <f t="shared" si="1"/>
        <v/>
      </c>
      <c r="AZ7" s="7" t="str">
        <f t="shared" si="1"/>
        <v/>
      </c>
      <c r="BA7" s="7" t="str">
        <f t="shared" si="1"/>
        <v/>
      </c>
      <c r="BB7" s="7" t="str">
        <f t="shared" si="1"/>
        <v/>
      </c>
      <c r="BC7" s="7" t="str">
        <f t="shared" si="1"/>
        <v/>
      </c>
      <c r="BD7" s="7" t="str">
        <f t="shared" si="1"/>
        <v/>
      </c>
      <c r="BE7" s="7" t="str">
        <f t="shared" si="1"/>
        <v>S 14</v>
      </c>
      <c r="BF7" s="7" t="str">
        <f t="shared" si="1"/>
        <v/>
      </c>
      <c r="BG7" s="7" t="str">
        <f t="shared" si="1"/>
        <v/>
      </c>
      <c r="BH7" s="7" t="str">
        <f t="shared" si="1"/>
        <v/>
      </c>
      <c r="BI7" s="7" t="str">
        <f t="shared" si="1"/>
        <v/>
      </c>
      <c r="BJ7" s="7" t="str">
        <f t="shared" si="1"/>
        <v/>
      </c>
      <c r="BK7" s="7" t="str">
        <f t="shared" si="1"/>
        <v/>
      </c>
      <c r="BL7" s="7" t="str">
        <f t="shared" si="1"/>
        <v>S 15</v>
      </c>
      <c r="BM7" s="7" t="str">
        <f t="shared" si="1"/>
        <v/>
      </c>
      <c r="BN7" s="7" t="str">
        <f t="shared" si="1"/>
        <v/>
      </c>
      <c r="BO7" s="7" t="str">
        <f t="shared" si="1"/>
        <v/>
      </c>
    </row>
    <row r="8" spans="1:67" ht="13" hidden="1" customHeight="1" x14ac:dyDescent="0.25">
      <c r="B8" s="51" t="s">
        <v>9</v>
      </c>
      <c r="C8" s="51" t="s">
        <v>7</v>
      </c>
      <c r="D8" s="51" t="s">
        <v>10</v>
      </c>
      <c r="E8" s="51" t="s">
        <v>11</v>
      </c>
      <c r="F8" s="49" t="s">
        <v>12</v>
      </c>
      <c r="G8" s="13"/>
      <c r="H8" s="8" t="str">
        <f t="shared" ref="H8:I8" si="2">VLOOKUP(WEEKDAY(H6,2),semaine,2,FALSE)</f>
        <v>L</v>
      </c>
      <c r="I8" s="8" t="str">
        <f t="shared" si="2"/>
        <v>M</v>
      </c>
      <c r="J8" s="8" t="str">
        <f t="shared" ref="J8:BO8" si="3">VLOOKUP(WEEKDAY(J6,2),semaine,2,FALSE)</f>
        <v>M</v>
      </c>
      <c r="K8" s="8" t="str">
        <f t="shared" si="3"/>
        <v>J</v>
      </c>
      <c r="L8" s="8" t="str">
        <f t="shared" si="3"/>
        <v>V</v>
      </c>
      <c r="M8" s="8" t="str">
        <f t="shared" si="3"/>
        <v>S</v>
      </c>
      <c r="N8" s="8" t="str">
        <f t="shared" si="3"/>
        <v>D</v>
      </c>
      <c r="O8" s="8" t="str">
        <f t="shared" si="3"/>
        <v>L</v>
      </c>
      <c r="P8" s="8" t="str">
        <f t="shared" si="3"/>
        <v>M</v>
      </c>
      <c r="Q8" s="8" t="str">
        <f t="shared" si="3"/>
        <v>M</v>
      </c>
      <c r="R8" s="8" t="str">
        <f t="shared" si="3"/>
        <v>J</v>
      </c>
      <c r="S8" s="8" t="str">
        <f t="shared" si="3"/>
        <v>V</v>
      </c>
      <c r="T8" s="8" t="str">
        <f t="shared" si="3"/>
        <v>S</v>
      </c>
      <c r="U8" s="8" t="str">
        <f t="shared" si="3"/>
        <v>D</v>
      </c>
      <c r="V8" s="8" t="str">
        <f t="shared" si="3"/>
        <v>L</v>
      </c>
      <c r="W8" s="8" t="str">
        <f t="shared" si="3"/>
        <v>M</v>
      </c>
      <c r="X8" s="8" t="str">
        <f t="shared" si="3"/>
        <v>M</v>
      </c>
      <c r="Y8" s="8" t="str">
        <f t="shared" si="3"/>
        <v>J</v>
      </c>
      <c r="Z8" s="8" t="str">
        <f t="shared" si="3"/>
        <v>V</v>
      </c>
      <c r="AA8" s="8" t="str">
        <f t="shared" si="3"/>
        <v>S</v>
      </c>
      <c r="AB8" s="8" t="str">
        <f t="shared" si="3"/>
        <v>D</v>
      </c>
      <c r="AC8" s="8" t="str">
        <f t="shared" si="3"/>
        <v>L</v>
      </c>
      <c r="AD8" s="8" t="str">
        <f t="shared" si="3"/>
        <v>M</v>
      </c>
      <c r="AE8" s="8" t="str">
        <f t="shared" si="3"/>
        <v>M</v>
      </c>
      <c r="AF8" s="8" t="str">
        <f t="shared" si="3"/>
        <v>J</v>
      </c>
      <c r="AG8" s="8" t="str">
        <f t="shared" si="3"/>
        <v>V</v>
      </c>
      <c r="AH8" s="8" t="str">
        <f t="shared" si="3"/>
        <v>S</v>
      </c>
      <c r="AI8" s="8" t="str">
        <f t="shared" si="3"/>
        <v>D</v>
      </c>
      <c r="AJ8" s="8" t="str">
        <f t="shared" si="3"/>
        <v>L</v>
      </c>
      <c r="AK8" s="8" t="str">
        <f t="shared" si="3"/>
        <v>M</v>
      </c>
      <c r="AL8" s="8" t="str">
        <f t="shared" si="3"/>
        <v>M</v>
      </c>
      <c r="AM8" s="8" t="str">
        <f t="shared" si="3"/>
        <v>J</v>
      </c>
      <c r="AN8" s="8" t="str">
        <f t="shared" si="3"/>
        <v>V</v>
      </c>
      <c r="AO8" s="8" t="str">
        <f t="shared" si="3"/>
        <v>S</v>
      </c>
      <c r="AP8" s="8" t="str">
        <f t="shared" si="3"/>
        <v>D</v>
      </c>
      <c r="AQ8" s="8" t="str">
        <f t="shared" si="3"/>
        <v>L</v>
      </c>
      <c r="AR8" s="8" t="str">
        <f t="shared" si="3"/>
        <v>M</v>
      </c>
      <c r="AS8" s="8" t="str">
        <f t="shared" si="3"/>
        <v>M</v>
      </c>
      <c r="AT8" s="8" t="str">
        <f t="shared" si="3"/>
        <v>J</v>
      </c>
      <c r="AU8" s="8" t="str">
        <f t="shared" si="3"/>
        <v>V</v>
      </c>
      <c r="AV8" s="8" t="str">
        <f t="shared" si="3"/>
        <v>S</v>
      </c>
      <c r="AW8" s="8" t="str">
        <f t="shared" si="3"/>
        <v>D</v>
      </c>
      <c r="AX8" s="8" t="str">
        <f t="shared" si="3"/>
        <v>L</v>
      </c>
      <c r="AY8" s="8" t="str">
        <f t="shared" si="3"/>
        <v>M</v>
      </c>
      <c r="AZ8" s="8" t="str">
        <f t="shared" si="3"/>
        <v>M</v>
      </c>
      <c r="BA8" s="8" t="str">
        <f t="shared" si="3"/>
        <v>J</v>
      </c>
      <c r="BB8" s="8" t="str">
        <f t="shared" si="3"/>
        <v>V</v>
      </c>
      <c r="BC8" s="8" t="str">
        <f t="shared" si="3"/>
        <v>S</v>
      </c>
      <c r="BD8" s="8" t="str">
        <f t="shared" si="3"/>
        <v>D</v>
      </c>
      <c r="BE8" s="8" t="str">
        <f t="shared" si="3"/>
        <v>L</v>
      </c>
      <c r="BF8" s="8" t="str">
        <f t="shared" si="3"/>
        <v>M</v>
      </c>
      <c r="BG8" s="8" t="str">
        <f t="shared" si="3"/>
        <v>M</v>
      </c>
      <c r="BH8" s="8" t="str">
        <f t="shared" si="3"/>
        <v>J</v>
      </c>
      <c r="BI8" s="8" t="str">
        <f t="shared" si="3"/>
        <v>V</v>
      </c>
      <c r="BJ8" s="8" t="str">
        <f t="shared" si="3"/>
        <v>S</v>
      </c>
      <c r="BK8" s="8" t="str">
        <f t="shared" si="3"/>
        <v>D</v>
      </c>
      <c r="BL8" s="8" t="str">
        <f t="shared" si="3"/>
        <v>L</v>
      </c>
      <c r="BM8" s="8" t="str">
        <f t="shared" si="3"/>
        <v>M</v>
      </c>
      <c r="BN8" s="8" t="str">
        <f t="shared" si="3"/>
        <v>M</v>
      </c>
      <c r="BO8" s="8" t="str">
        <f t="shared" si="3"/>
        <v>J</v>
      </c>
    </row>
    <row r="9" spans="1:67" x14ac:dyDescent="0.25">
      <c r="B9" s="51"/>
      <c r="C9" s="51"/>
      <c r="D9" s="51"/>
      <c r="E9" s="51"/>
      <c r="F9" s="49"/>
      <c r="G9" s="13"/>
      <c r="H9" s="8">
        <f>DAY(H6)</f>
        <v>19</v>
      </c>
      <c r="I9" s="8">
        <f t="shared" ref="I9" si="4">DAY(I6)</f>
        <v>20</v>
      </c>
      <c r="J9" s="8">
        <f t="shared" ref="J9:BO9" si="5">DAY(J6)</f>
        <v>21</v>
      </c>
      <c r="K9" s="8">
        <f t="shared" si="5"/>
        <v>22</v>
      </c>
      <c r="L9" s="8">
        <f t="shared" si="5"/>
        <v>23</v>
      </c>
      <c r="M9" s="8">
        <f t="shared" si="5"/>
        <v>24</v>
      </c>
      <c r="N9" s="8">
        <f t="shared" si="5"/>
        <v>25</v>
      </c>
      <c r="O9" s="8">
        <f t="shared" si="5"/>
        <v>26</v>
      </c>
      <c r="P9" s="8">
        <f t="shared" si="5"/>
        <v>27</v>
      </c>
      <c r="Q9" s="8">
        <f t="shared" si="5"/>
        <v>28</v>
      </c>
      <c r="R9" s="8">
        <f t="shared" si="5"/>
        <v>29</v>
      </c>
      <c r="S9" s="8">
        <f t="shared" si="5"/>
        <v>1</v>
      </c>
      <c r="T9" s="8">
        <f t="shared" si="5"/>
        <v>2</v>
      </c>
      <c r="U9" s="8">
        <f t="shared" si="5"/>
        <v>3</v>
      </c>
      <c r="V9" s="8">
        <f t="shared" si="5"/>
        <v>4</v>
      </c>
      <c r="W9" s="8">
        <f t="shared" si="5"/>
        <v>5</v>
      </c>
      <c r="X9" s="8">
        <f t="shared" si="5"/>
        <v>6</v>
      </c>
      <c r="Y9" s="8">
        <f t="shared" si="5"/>
        <v>7</v>
      </c>
      <c r="Z9" s="8">
        <f t="shared" si="5"/>
        <v>8</v>
      </c>
      <c r="AA9" s="8">
        <f t="shared" si="5"/>
        <v>9</v>
      </c>
      <c r="AB9" s="8">
        <f t="shared" si="5"/>
        <v>10</v>
      </c>
      <c r="AC9" s="8">
        <f t="shared" si="5"/>
        <v>11</v>
      </c>
      <c r="AD9" s="8">
        <f t="shared" si="5"/>
        <v>12</v>
      </c>
      <c r="AE9" s="8">
        <f t="shared" si="5"/>
        <v>13</v>
      </c>
      <c r="AF9" s="8">
        <f t="shared" si="5"/>
        <v>14</v>
      </c>
      <c r="AG9" s="8">
        <f t="shared" si="5"/>
        <v>15</v>
      </c>
      <c r="AH9" s="8">
        <f t="shared" si="5"/>
        <v>16</v>
      </c>
      <c r="AI9" s="8">
        <f t="shared" si="5"/>
        <v>17</v>
      </c>
      <c r="AJ9" s="8">
        <f t="shared" si="5"/>
        <v>18</v>
      </c>
      <c r="AK9" s="8">
        <f t="shared" si="5"/>
        <v>19</v>
      </c>
      <c r="AL9" s="8">
        <f t="shared" si="5"/>
        <v>20</v>
      </c>
      <c r="AM9" s="8">
        <f t="shared" si="5"/>
        <v>21</v>
      </c>
      <c r="AN9" s="8">
        <f t="shared" si="5"/>
        <v>22</v>
      </c>
      <c r="AO9" s="8">
        <f t="shared" si="5"/>
        <v>23</v>
      </c>
      <c r="AP9" s="8">
        <f t="shared" si="5"/>
        <v>24</v>
      </c>
      <c r="AQ9" s="8">
        <f t="shared" si="5"/>
        <v>25</v>
      </c>
      <c r="AR9" s="8">
        <f t="shared" si="5"/>
        <v>26</v>
      </c>
      <c r="AS9" s="8">
        <f t="shared" si="5"/>
        <v>27</v>
      </c>
      <c r="AT9" s="8">
        <f t="shared" si="5"/>
        <v>28</v>
      </c>
      <c r="AU9" s="8">
        <f t="shared" si="5"/>
        <v>29</v>
      </c>
      <c r="AV9" s="8">
        <f t="shared" si="5"/>
        <v>30</v>
      </c>
      <c r="AW9" s="8">
        <f t="shared" si="5"/>
        <v>31</v>
      </c>
      <c r="AX9" s="8">
        <f t="shared" si="5"/>
        <v>1</v>
      </c>
      <c r="AY9" s="8">
        <f t="shared" si="5"/>
        <v>2</v>
      </c>
      <c r="AZ9" s="8">
        <f t="shared" si="5"/>
        <v>3</v>
      </c>
      <c r="BA9" s="8">
        <f t="shared" si="5"/>
        <v>4</v>
      </c>
      <c r="BB9" s="8">
        <f t="shared" si="5"/>
        <v>5</v>
      </c>
      <c r="BC9" s="8">
        <f t="shared" si="5"/>
        <v>6</v>
      </c>
      <c r="BD9" s="8">
        <f t="shared" si="5"/>
        <v>7</v>
      </c>
      <c r="BE9" s="8">
        <f t="shared" si="5"/>
        <v>8</v>
      </c>
      <c r="BF9" s="8">
        <f t="shared" si="5"/>
        <v>9</v>
      </c>
      <c r="BG9" s="8">
        <f t="shared" si="5"/>
        <v>10</v>
      </c>
      <c r="BH9" s="8">
        <f t="shared" si="5"/>
        <v>11</v>
      </c>
      <c r="BI9" s="8">
        <f t="shared" si="5"/>
        <v>12</v>
      </c>
      <c r="BJ9" s="8">
        <f t="shared" si="5"/>
        <v>13</v>
      </c>
      <c r="BK9" s="8">
        <f t="shared" si="5"/>
        <v>14</v>
      </c>
      <c r="BL9" s="8">
        <f t="shared" si="5"/>
        <v>15</v>
      </c>
      <c r="BM9" s="8">
        <f t="shared" si="5"/>
        <v>16</v>
      </c>
      <c r="BN9" s="8">
        <f t="shared" si="5"/>
        <v>17</v>
      </c>
      <c r="BO9" s="8">
        <f t="shared" si="5"/>
        <v>18</v>
      </c>
    </row>
    <row r="10" spans="1:67" ht="13" customHeight="1" x14ac:dyDescent="0.3">
      <c r="A10" s="33">
        <v>1</v>
      </c>
      <c r="B10" s="34" t="s">
        <v>13</v>
      </c>
      <c r="C10" s="17"/>
      <c r="D10" s="18"/>
      <c r="E10" s="17"/>
      <c r="F10" s="23"/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</row>
    <row r="11" spans="1:67" ht="13" customHeight="1" x14ac:dyDescent="0.3">
      <c r="A11" s="1" t="s">
        <v>14</v>
      </c>
      <c r="B11" s="1" t="s">
        <v>42</v>
      </c>
      <c r="C11" s="22">
        <v>45341</v>
      </c>
      <c r="D11" s="9">
        <v>5</v>
      </c>
      <c r="E11" s="22">
        <v>45348</v>
      </c>
      <c r="F11" s="12">
        <v>0</v>
      </c>
      <c r="G11" s="32">
        <f t="shared" ref="G11:G13" si="6">C11+F11*(E11-C11)</f>
        <v>45341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3" customHeight="1" x14ac:dyDescent="0.3">
      <c r="A12" s="1" t="s">
        <v>15</v>
      </c>
      <c r="B12" s="1" t="s">
        <v>43</v>
      </c>
      <c r="C12" s="22">
        <v>45348</v>
      </c>
      <c r="D12" s="9">
        <v>5</v>
      </c>
      <c r="E12" s="22">
        <v>45355</v>
      </c>
      <c r="F12" s="12">
        <v>0</v>
      </c>
      <c r="G12" s="3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3" customHeight="1" x14ac:dyDescent="0.3">
      <c r="A13" s="1" t="s">
        <v>16</v>
      </c>
      <c r="B13" s="1" t="s">
        <v>17</v>
      </c>
      <c r="C13" s="22">
        <v>45355</v>
      </c>
      <c r="D13" s="9">
        <v>6</v>
      </c>
      <c r="E13" s="22">
        <v>45362</v>
      </c>
      <c r="F13" s="12">
        <v>0</v>
      </c>
      <c r="G13" s="32">
        <f t="shared" si="6"/>
        <v>45355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3" customHeight="1" x14ac:dyDescent="0.3">
      <c r="A14" s="35">
        <v>2</v>
      </c>
      <c r="B14" s="34" t="s">
        <v>18</v>
      </c>
      <c r="C14" s="28"/>
      <c r="D14" s="20"/>
      <c r="E14" s="29"/>
      <c r="F14" s="30"/>
      <c r="G14" s="16"/>
    </row>
    <row r="15" spans="1:67" ht="13" customHeight="1" x14ac:dyDescent="0.3">
      <c r="A15" s="6" t="s">
        <v>19</v>
      </c>
      <c r="B15" s="36" t="s">
        <v>20</v>
      </c>
      <c r="C15" s="22">
        <v>45362</v>
      </c>
      <c r="D15" s="9">
        <v>5</v>
      </c>
      <c r="E15" s="22">
        <v>45369</v>
      </c>
      <c r="F15" s="12">
        <v>0</v>
      </c>
      <c r="G15" s="16">
        <f t="shared" ref="G15" si="7">C15+F15*(E15-C15)</f>
        <v>45362</v>
      </c>
    </row>
    <row r="16" spans="1:67" ht="13" customHeight="1" x14ac:dyDescent="0.3">
      <c r="A16" s="6" t="s">
        <v>21</v>
      </c>
      <c r="B16" s="36" t="s">
        <v>22</v>
      </c>
      <c r="C16" s="22">
        <v>45369</v>
      </c>
      <c r="D16" s="9">
        <v>6</v>
      </c>
      <c r="E16" s="22">
        <v>45376</v>
      </c>
      <c r="F16" s="12">
        <v>0</v>
      </c>
      <c r="G16" s="16">
        <f t="shared" ref="G16" si="8">C16+F16*(E16-C16)</f>
        <v>45369</v>
      </c>
    </row>
    <row r="17" spans="1:67" ht="13" customHeight="1" x14ac:dyDescent="0.3">
      <c r="A17" s="6" t="s">
        <v>23</v>
      </c>
      <c r="B17" s="36" t="s">
        <v>40</v>
      </c>
      <c r="C17" s="22">
        <v>45376</v>
      </c>
      <c r="D17" s="9">
        <v>6</v>
      </c>
      <c r="E17" s="22">
        <v>45383</v>
      </c>
      <c r="F17" s="12">
        <v>0</v>
      </c>
      <c r="G17" s="16">
        <f t="shared" ref="G17" si="9">C17+F17*(E17-C17)</f>
        <v>45376</v>
      </c>
    </row>
    <row r="18" spans="1:67" ht="13" customHeight="1" x14ac:dyDescent="0.3">
      <c r="A18" s="35">
        <v>3</v>
      </c>
      <c r="B18" s="34" t="s">
        <v>24</v>
      </c>
      <c r="C18" s="28"/>
      <c r="D18" s="20"/>
      <c r="E18" s="29"/>
      <c r="F18" s="30"/>
      <c r="G18" s="31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</row>
    <row r="19" spans="1:67" ht="13" customHeight="1" x14ac:dyDescent="0.3">
      <c r="A19" s="6" t="s">
        <v>25</v>
      </c>
      <c r="B19" s="36" t="s">
        <v>26</v>
      </c>
      <c r="C19" s="22">
        <v>45341</v>
      </c>
      <c r="D19" s="9">
        <v>6</v>
      </c>
      <c r="E19" s="22">
        <v>45341</v>
      </c>
      <c r="F19" s="12">
        <v>0</v>
      </c>
      <c r="G19" s="16">
        <f t="shared" ref="G19" si="10">C19+F19*(E19-C19)</f>
        <v>45341</v>
      </c>
    </row>
    <row r="20" spans="1:67" ht="13" customHeight="1" x14ac:dyDescent="0.3">
      <c r="A20" s="6" t="s">
        <v>27</v>
      </c>
      <c r="B20" s="1" t="s">
        <v>28</v>
      </c>
      <c r="C20" s="22">
        <v>45341</v>
      </c>
      <c r="D20" s="9">
        <v>6</v>
      </c>
      <c r="E20" s="22">
        <v>45341</v>
      </c>
      <c r="F20" s="15">
        <v>0</v>
      </c>
      <c r="G20" s="16">
        <f t="shared" ref="G20" si="11">C20+F20*(E20-C20)</f>
        <v>45341</v>
      </c>
    </row>
    <row r="21" spans="1:67" ht="13" customHeight="1" x14ac:dyDescent="0.3">
      <c r="A21" s="35">
        <v>4</v>
      </c>
      <c r="B21" s="34" t="s">
        <v>38</v>
      </c>
      <c r="C21" s="28"/>
      <c r="D21" s="20"/>
      <c r="E21" s="29"/>
      <c r="F21" s="30"/>
      <c r="G21" s="31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</row>
    <row r="22" spans="1:67" ht="13" customHeight="1" x14ac:dyDescent="0.3">
      <c r="A22" s="6" t="s">
        <v>25</v>
      </c>
      <c r="B22" s="36" t="s">
        <v>39</v>
      </c>
      <c r="C22" s="22">
        <v>45341</v>
      </c>
      <c r="D22" s="9">
        <v>6</v>
      </c>
      <c r="E22" s="22">
        <v>45341</v>
      </c>
      <c r="F22" s="12">
        <v>0</v>
      </c>
      <c r="G22" s="16">
        <f t="shared" ref="G22:G23" si="12">C22+F22*(E22-C22)</f>
        <v>45341</v>
      </c>
    </row>
    <row r="23" spans="1:67" ht="13" customHeight="1" x14ac:dyDescent="0.3">
      <c r="A23" s="6" t="s">
        <v>27</v>
      </c>
      <c r="B23" s="1" t="s">
        <v>41</v>
      </c>
      <c r="C23" s="22">
        <v>45341</v>
      </c>
      <c r="D23" s="9">
        <v>6</v>
      </c>
      <c r="E23" s="22">
        <v>45341</v>
      </c>
      <c r="F23" s="15">
        <v>0</v>
      </c>
      <c r="G23" s="16">
        <f t="shared" si="12"/>
        <v>45341</v>
      </c>
    </row>
    <row r="24" spans="1:67" ht="13" customHeight="1" x14ac:dyDescent="0.3">
      <c r="A24" s="35">
        <v>4</v>
      </c>
      <c r="B24" s="34" t="s">
        <v>29</v>
      </c>
      <c r="C24" s="28"/>
      <c r="D24" s="20"/>
      <c r="E24" s="29"/>
      <c r="F24" s="30"/>
      <c r="G24" s="31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</row>
    <row r="25" spans="1:67" ht="13" customHeight="1" x14ac:dyDescent="0.3">
      <c r="A25" s="6" t="s">
        <v>25</v>
      </c>
      <c r="B25" s="1" t="s">
        <v>30</v>
      </c>
      <c r="C25" s="22">
        <v>45341</v>
      </c>
      <c r="D25" s="9">
        <v>6</v>
      </c>
      <c r="E25" s="22">
        <v>45341</v>
      </c>
      <c r="F25" s="15">
        <v>0</v>
      </c>
      <c r="G25" s="16">
        <f t="shared" ref="G25" si="13">C25+F25*(E25-C25)</f>
        <v>45341</v>
      </c>
    </row>
    <row r="26" spans="1:67" ht="13" customHeight="1" x14ac:dyDescent="0.25">
      <c r="E26" s="25" t="str">
        <f t="shared" ref="E26:E53" si="14">IF(B26="","",IF($C$4="OUI",WORKDAY(C26,IF(WEEKDAY(C26,2)&gt;=6,D26,D26-1)),C26+D26-1))</f>
        <v/>
      </c>
    </row>
    <row r="27" spans="1:67" ht="13" customHeight="1" x14ac:dyDescent="0.25">
      <c r="E27" s="25" t="str">
        <f t="shared" si="14"/>
        <v/>
      </c>
    </row>
    <row r="28" spans="1:67" ht="13" customHeight="1" x14ac:dyDescent="0.25">
      <c r="E28" s="25" t="str">
        <f t="shared" si="14"/>
        <v/>
      </c>
    </row>
    <row r="29" spans="1:67" ht="13" customHeight="1" x14ac:dyDescent="0.25">
      <c r="E29" s="25" t="str">
        <f t="shared" si="14"/>
        <v/>
      </c>
    </row>
    <row r="30" spans="1:67" ht="13" customHeight="1" x14ac:dyDescent="0.25">
      <c r="E30" s="25" t="str">
        <f t="shared" si="14"/>
        <v/>
      </c>
    </row>
    <row r="31" spans="1:67" ht="13" customHeight="1" x14ac:dyDescent="0.25">
      <c r="E31" s="25" t="str">
        <f t="shared" si="14"/>
        <v/>
      </c>
    </row>
    <row r="32" spans="1:67" ht="13" customHeight="1" x14ac:dyDescent="0.25">
      <c r="E32" s="25" t="str">
        <f t="shared" si="14"/>
        <v/>
      </c>
    </row>
    <row r="33" spans="5:5" ht="13" customHeight="1" x14ac:dyDescent="0.25">
      <c r="E33" s="25" t="str">
        <f t="shared" si="14"/>
        <v/>
      </c>
    </row>
    <row r="34" spans="5:5" ht="13" customHeight="1" x14ac:dyDescent="0.25">
      <c r="E34" s="25" t="str">
        <f t="shared" si="14"/>
        <v/>
      </c>
    </row>
    <row r="35" spans="5:5" ht="13" customHeight="1" x14ac:dyDescent="0.25">
      <c r="E35" s="25" t="str">
        <f t="shared" si="14"/>
        <v/>
      </c>
    </row>
    <row r="36" spans="5:5" ht="13" customHeight="1" x14ac:dyDescent="0.25">
      <c r="E36" s="25" t="str">
        <f t="shared" si="14"/>
        <v/>
      </c>
    </row>
    <row r="37" spans="5:5" ht="13" customHeight="1" x14ac:dyDescent="0.25">
      <c r="E37" s="25" t="str">
        <f t="shared" si="14"/>
        <v/>
      </c>
    </row>
    <row r="38" spans="5:5" ht="13" customHeight="1" x14ac:dyDescent="0.25">
      <c r="E38" s="25" t="str">
        <f t="shared" si="14"/>
        <v/>
      </c>
    </row>
    <row r="39" spans="5:5" ht="13" customHeight="1" x14ac:dyDescent="0.25">
      <c r="E39" s="25" t="str">
        <f t="shared" si="14"/>
        <v/>
      </c>
    </row>
    <row r="40" spans="5:5" ht="13" customHeight="1" x14ac:dyDescent="0.25">
      <c r="E40" s="25" t="str">
        <f t="shared" si="14"/>
        <v/>
      </c>
    </row>
    <row r="41" spans="5:5" ht="13" customHeight="1" x14ac:dyDescent="0.25">
      <c r="E41" s="25" t="str">
        <f t="shared" si="14"/>
        <v/>
      </c>
    </row>
    <row r="42" spans="5:5" ht="13" customHeight="1" x14ac:dyDescent="0.25">
      <c r="E42" s="25" t="str">
        <f t="shared" si="14"/>
        <v/>
      </c>
    </row>
    <row r="43" spans="5:5" ht="13" customHeight="1" x14ac:dyDescent="0.25">
      <c r="E43" s="25" t="str">
        <f t="shared" si="14"/>
        <v/>
      </c>
    </row>
    <row r="44" spans="5:5" ht="13" customHeight="1" x14ac:dyDescent="0.25">
      <c r="E44" s="25" t="str">
        <f t="shared" si="14"/>
        <v/>
      </c>
    </row>
    <row r="45" spans="5:5" ht="13" customHeight="1" x14ac:dyDescent="0.25">
      <c r="E45" s="25" t="str">
        <f t="shared" si="14"/>
        <v/>
      </c>
    </row>
    <row r="46" spans="5:5" ht="13" customHeight="1" x14ac:dyDescent="0.25">
      <c r="E46" s="25" t="str">
        <f t="shared" si="14"/>
        <v/>
      </c>
    </row>
    <row r="47" spans="5:5" ht="13" customHeight="1" x14ac:dyDescent="0.25">
      <c r="E47" s="25" t="str">
        <f t="shared" si="14"/>
        <v/>
      </c>
    </row>
    <row r="48" spans="5:5" ht="13" customHeight="1" x14ac:dyDescent="0.25">
      <c r="E48" s="25" t="str">
        <f t="shared" si="14"/>
        <v/>
      </c>
    </row>
    <row r="49" spans="5:5" ht="13" customHeight="1" x14ac:dyDescent="0.25">
      <c r="E49" s="25" t="str">
        <f t="shared" si="14"/>
        <v/>
      </c>
    </row>
    <row r="50" spans="5:5" ht="13" customHeight="1" x14ac:dyDescent="0.25">
      <c r="E50" s="25" t="str">
        <f t="shared" si="14"/>
        <v/>
      </c>
    </row>
    <row r="51" spans="5:5" ht="13" customHeight="1" x14ac:dyDescent="0.25">
      <c r="E51" s="25" t="str">
        <f t="shared" si="14"/>
        <v/>
      </c>
    </row>
    <row r="52" spans="5:5" ht="13" customHeight="1" x14ac:dyDescent="0.25">
      <c r="E52" s="25" t="str">
        <f t="shared" si="14"/>
        <v/>
      </c>
    </row>
    <row r="53" spans="5:5" ht="13" customHeight="1" x14ac:dyDescent="0.25">
      <c r="E53" s="25" t="str">
        <f t="shared" si="14"/>
        <v/>
      </c>
    </row>
    <row r="54" spans="5:5" ht="13" customHeight="1" x14ac:dyDescent="0.25">
      <c r="E54" s="25" t="str">
        <f t="shared" ref="E54:E76" si="15">IF(B54="","",IF($C$4="OUI",WORKDAY(C54,IF(WEEKDAY(C54,2)&gt;=6,D54,D54-1)),C54+D54-1))</f>
        <v/>
      </c>
    </row>
    <row r="55" spans="5:5" ht="13" customHeight="1" x14ac:dyDescent="0.25">
      <c r="E55" s="25" t="str">
        <f t="shared" si="15"/>
        <v/>
      </c>
    </row>
    <row r="56" spans="5:5" ht="13" customHeight="1" x14ac:dyDescent="0.25">
      <c r="E56" s="25" t="str">
        <f t="shared" si="15"/>
        <v/>
      </c>
    </row>
    <row r="57" spans="5:5" ht="13" customHeight="1" x14ac:dyDescent="0.25">
      <c r="E57" s="25" t="str">
        <f t="shared" si="15"/>
        <v/>
      </c>
    </row>
    <row r="58" spans="5:5" ht="13" customHeight="1" x14ac:dyDescent="0.25">
      <c r="E58" s="25" t="str">
        <f t="shared" si="15"/>
        <v/>
      </c>
    </row>
    <row r="59" spans="5:5" ht="13" customHeight="1" x14ac:dyDescent="0.25">
      <c r="E59" s="25" t="str">
        <f t="shared" si="15"/>
        <v/>
      </c>
    </row>
    <row r="60" spans="5:5" ht="13" customHeight="1" x14ac:dyDescent="0.25">
      <c r="E60" s="25" t="str">
        <f t="shared" si="15"/>
        <v/>
      </c>
    </row>
    <row r="61" spans="5:5" ht="13" customHeight="1" x14ac:dyDescent="0.25">
      <c r="E61" s="25" t="str">
        <f t="shared" si="15"/>
        <v/>
      </c>
    </row>
    <row r="62" spans="5:5" ht="13" customHeight="1" x14ac:dyDescent="0.25">
      <c r="E62" s="25" t="str">
        <f t="shared" si="15"/>
        <v/>
      </c>
    </row>
    <row r="63" spans="5:5" ht="13" customHeight="1" x14ac:dyDescent="0.25">
      <c r="E63" s="25" t="str">
        <f t="shared" si="15"/>
        <v/>
      </c>
    </row>
    <row r="64" spans="5:5" ht="13" customHeight="1" x14ac:dyDescent="0.25">
      <c r="E64" s="25" t="str">
        <f t="shared" si="15"/>
        <v/>
      </c>
    </row>
    <row r="65" spans="5:5" ht="13" customHeight="1" x14ac:dyDescent="0.25">
      <c r="E65" s="25" t="str">
        <f t="shared" si="15"/>
        <v/>
      </c>
    </row>
    <row r="66" spans="5:5" ht="13" customHeight="1" x14ac:dyDescent="0.25">
      <c r="E66" s="25" t="str">
        <f t="shared" si="15"/>
        <v/>
      </c>
    </row>
    <row r="67" spans="5:5" ht="13" customHeight="1" x14ac:dyDescent="0.25">
      <c r="E67" s="25" t="str">
        <f t="shared" si="15"/>
        <v/>
      </c>
    </row>
    <row r="68" spans="5:5" ht="13" customHeight="1" x14ac:dyDescent="0.25">
      <c r="E68" s="25" t="str">
        <f t="shared" si="15"/>
        <v/>
      </c>
    </row>
    <row r="69" spans="5:5" ht="13" customHeight="1" x14ac:dyDescent="0.25">
      <c r="E69" s="25" t="str">
        <f t="shared" si="15"/>
        <v/>
      </c>
    </row>
    <row r="70" spans="5:5" ht="13" customHeight="1" x14ac:dyDescent="0.25">
      <c r="E70" s="25" t="str">
        <f t="shared" si="15"/>
        <v/>
      </c>
    </row>
    <row r="71" spans="5:5" x14ac:dyDescent="0.25">
      <c r="E71" s="25" t="str">
        <f t="shared" si="15"/>
        <v/>
      </c>
    </row>
    <row r="72" spans="5:5" x14ac:dyDescent="0.25">
      <c r="E72" s="25" t="str">
        <f t="shared" si="15"/>
        <v/>
      </c>
    </row>
    <row r="73" spans="5:5" x14ac:dyDescent="0.25">
      <c r="E73" s="25" t="str">
        <f t="shared" si="15"/>
        <v/>
      </c>
    </row>
    <row r="74" spans="5:5" x14ac:dyDescent="0.25">
      <c r="E74" s="25" t="str">
        <f t="shared" si="15"/>
        <v/>
      </c>
    </row>
    <row r="75" spans="5:5" x14ac:dyDescent="0.25">
      <c r="E75" s="25" t="str">
        <f t="shared" si="15"/>
        <v/>
      </c>
    </row>
    <row r="76" spans="5:5" x14ac:dyDescent="0.25">
      <c r="E76" s="25" t="str">
        <f t="shared" si="15"/>
        <v/>
      </c>
    </row>
  </sheetData>
  <mergeCells count="13">
    <mergeCell ref="A6:E6"/>
    <mergeCell ref="C3:E3"/>
    <mergeCell ref="C2:E2"/>
    <mergeCell ref="A1:E1"/>
    <mergeCell ref="A2:B2"/>
    <mergeCell ref="A3:B3"/>
    <mergeCell ref="A4:B4"/>
    <mergeCell ref="A5:B5"/>
    <mergeCell ref="F8:F9"/>
    <mergeCell ref="E8:E9"/>
    <mergeCell ref="D8:D9"/>
    <mergeCell ref="C8:C9"/>
    <mergeCell ref="B8:B9"/>
  </mergeCells>
  <phoneticPr fontId="10" type="noConversion"/>
  <conditionalFormatting sqref="F10 F18 F20:F79">
    <cfRule type="expression" dxfId="29" priority="155">
      <formula>$B10&lt;&gt;""</formula>
    </cfRule>
  </conditionalFormatting>
  <conditionalFormatting sqref="F11:F13">
    <cfRule type="expression" dxfId="28" priority="984">
      <formula>#REF!&lt;&gt;""</formula>
    </cfRule>
  </conditionalFormatting>
  <conditionalFormatting sqref="F14">
    <cfRule type="expression" dxfId="27" priority="16">
      <formula>$B14&lt;&gt;""</formula>
    </cfRule>
  </conditionalFormatting>
  <conditionalFormatting sqref="F15:F17">
    <cfRule type="expression" dxfId="26" priority="49">
      <formula>#REF!&lt;&gt;""</formula>
    </cfRule>
  </conditionalFormatting>
  <conditionalFormatting sqref="F19:F20">
    <cfRule type="expression" dxfId="25" priority="9">
      <formula>#REF!&lt;&gt;""</formula>
    </cfRule>
  </conditionalFormatting>
  <conditionalFormatting sqref="F22:F23">
    <cfRule type="expression" dxfId="24" priority="1">
      <formula>#REF!&lt;&gt;""</formula>
    </cfRule>
  </conditionalFormatting>
  <conditionalFormatting sqref="F25">
    <cfRule type="expression" dxfId="23" priority="2">
      <formula>#REF!&lt;&gt;""</formula>
    </cfRule>
  </conditionalFormatting>
  <conditionalFormatting sqref="H7:BO7">
    <cfRule type="expression" dxfId="22" priority="164">
      <formula>H7&lt;&gt;""</formula>
    </cfRule>
  </conditionalFormatting>
  <conditionalFormatting sqref="H11:BO13">
    <cfRule type="expression" dxfId="21" priority="985" stopIfTrue="1">
      <formula>#REF!=""</formula>
    </cfRule>
    <cfRule type="expression" dxfId="20" priority="986">
      <formula>AND(H$6&gt;=$C11,H$6&lt;=$E11,H$6&lt;=$G11,$F11&gt;0)</formula>
    </cfRule>
    <cfRule type="expression" dxfId="19" priority="987">
      <formula>AND(H$6&gt;=$C11,H$6&lt;=$E11,H$6&gt;=$G11,H$6&gt;=TODAY())</formula>
    </cfRule>
    <cfRule type="expression" dxfId="18" priority="988">
      <formula>AND(H$6&gt;=$C11,H$6&lt;=$E11,H$6&gt;=$G11)</formula>
    </cfRule>
    <cfRule type="expression" dxfId="17" priority="989">
      <formula>AND(H$6=$G$2,#REF!&lt;&gt;"")</formula>
    </cfRule>
  </conditionalFormatting>
  <conditionalFormatting sqref="H14:BO76 H6:BO10">
    <cfRule type="expression" dxfId="16" priority="182">
      <formula>AND(H$6=$G$2,$B6&lt;&gt;"")</formula>
    </cfRule>
  </conditionalFormatting>
  <conditionalFormatting sqref="H14:BO76">
    <cfRule type="expression" dxfId="15" priority="178" stopIfTrue="1">
      <formula>$B14=""</formula>
    </cfRule>
    <cfRule type="expression" dxfId="14" priority="179">
      <formula>AND(H$6&gt;=$C14,H$6&lt;=$E14,H$6&lt;=$G14,$F14&gt;0)</formula>
    </cfRule>
    <cfRule type="expression" dxfId="13" priority="180">
      <formula>AND(H$6&gt;=$C14,H$6&lt;=$E14,H$6&gt;=$G14,H$6&gt;=TODAY())</formula>
    </cfRule>
    <cfRule type="expression" dxfId="12" priority="181">
      <formula>AND(H$6&gt;=$C14,H$6&lt;=$E14,H$6&gt;=$G14)</formula>
    </cfRule>
  </conditionalFormatting>
  <conditionalFormatting sqref="H21:BO21">
    <cfRule type="expression" dxfId="11" priority="11" stopIfTrue="1">
      <formula>$B21=""</formula>
    </cfRule>
    <cfRule type="expression" dxfId="10" priority="12">
      <formula>AND(H$6&gt;=$C21,H$6&lt;=$E21,H$6&lt;=$G21,$F21&gt;0)</formula>
    </cfRule>
    <cfRule type="expression" dxfId="9" priority="13">
      <formula>AND(H$6&gt;=$C21,H$6&lt;=$E21,H$6&gt;=$G21,H$6&gt;=TODAY())</formula>
    </cfRule>
    <cfRule type="expression" dxfId="8" priority="14">
      <formula>AND(H$6&gt;=$C21,H$6&lt;=$E21,H$6&gt;=$G21)</formula>
    </cfRule>
    <cfRule type="expression" dxfId="7" priority="15">
      <formula>AND(H$6=$G$2,$B21&lt;&gt;"")</formula>
    </cfRule>
  </conditionalFormatting>
  <conditionalFormatting sqref="H24:BO24">
    <cfRule type="expression" dxfId="6" priority="3" stopIfTrue="1">
      <formula>$B24=""</formula>
    </cfRule>
    <cfRule type="expression" dxfId="5" priority="4">
      <formula>AND(H$6&gt;=$C24,H$6&lt;=$E24,H$6&lt;=$G24,$F24&gt;0)</formula>
    </cfRule>
    <cfRule type="expression" dxfId="4" priority="5">
      <formula>AND(H$6&gt;=$C24,H$6&lt;=$E24,H$6&gt;=$G24,H$6&gt;=TODAY())</formula>
    </cfRule>
    <cfRule type="expression" dxfId="3" priority="6">
      <formula>AND(H$6&gt;=$C24,H$6&lt;=$E24,H$6&gt;=$G24)</formula>
    </cfRule>
    <cfRule type="expression" dxfId="2" priority="7">
      <formula>AND(H$6=$G$2,$B24&lt;&gt;"")</formula>
    </cfRule>
  </conditionalFormatting>
  <conditionalFormatting sqref="I6:BO6">
    <cfRule type="expression" dxfId="1" priority="163">
      <formula>I9&lt;&gt;1</formula>
    </cfRule>
  </conditionalFormatting>
  <conditionalFormatting sqref="I6:BO9">
    <cfRule type="expression" dxfId="0" priority="161">
      <formula>I$9=1</formula>
    </cfRule>
  </conditionalFormatting>
  <dataValidations count="1">
    <dataValidation type="list" allowBlank="1" showInputMessage="1" showErrorMessage="1" sqref="C4:E4" xr:uid="{00000000-0002-0000-0000-000000000000}">
      <formula1>ouinon</formula1>
    </dataValidation>
  </dataValidations>
  <pageMargins left="0.25" right="0.25" top="0.75" bottom="0.75" header="0.3" footer="0.3"/>
  <pageSetup paperSize="9" scale="6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Scroll Bar 6">
              <controlPr defaultSize="0" autoPict="0">
                <anchor moveWithCells="1">
                  <from>
                    <xdr:col>7</xdr:col>
                    <xdr:colOff>38100</xdr:colOff>
                    <xdr:row>1</xdr:row>
                    <xdr:rowOff>31750</xdr:rowOff>
                  </from>
                  <to>
                    <xdr:col>66</xdr:col>
                    <xdr:colOff>133350</xdr:colOff>
                    <xdr:row>2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11.453125" defaultRowHeight="14.5" x14ac:dyDescent="0.35"/>
  <cols>
    <col min="1" max="1" width="2" bestFit="1" customWidth="1"/>
    <col min="2" max="2" width="2.7265625" bestFit="1" customWidth="1"/>
    <col min="3" max="3" width="4.26953125" customWidth="1"/>
    <col min="4" max="4" width="5.26953125" bestFit="1" customWidth="1"/>
  </cols>
  <sheetData>
    <row r="1" spans="1:4" x14ac:dyDescent="0.35">
      <c r="A1">
        <v>1</v>
      </c>
      <c r="B1" t="s">
        <v>31</v>
      </c>
      <c r="D1" t="s">
        <v>6</v>
      </c>
    </row>
    <row r="2" spans="1:4" x14ac:dyDescent="0.35">
      <c r="A2">
        <v>2</v>
      </c>
      <c r="B2" t="s">
        <v>32</v>
      </c>
      <c r="D2" t="s">
        <v>33</v>
      </c>
    </row>
    <row r="3" spans="1:4" x14ac:dyDescent="0.35">
      <c r="A3">
        <v>3</v>
      </c>
      <c r="B3" t="s">
        <v>32</v>
      </c>
    </row>
    <row r="4" spans="1:4" x14ac:dyDescent="0.35">
      <c r="A4">
        <v>4</v>
      </c>
      <c r="B4" t="s">
        <v>34</v>
      </c>
    </row>
    <row r="5" spans="1:4" x14ac:dyDescent="0.35">
      <c r="A5">
        <v>5</v>
      </c>
      <c r="B5" t="s">
        <v>35</v>
      </c>
    </row>
    <row r="6" spans="1:4" x14ac:dyDescent="0.35">
      <c r="A6">
        <v>6</v>
      </c>
      <c r="B6" t="s">
        <v>36</v>
      </c>
    </row>
    <row r="7" spans="1:4" x14ac:dyDescent="0.35">
      <c r="A7">
        <v>7</v>
      </c>
      <c r="B7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b3623ea3-be23-4189-a25b-bcadb097ef14" ContentTypeId="0x010100523E576B942B6142BE89226921AF5516" PreviousValue="false" LastSyncTimeStamp="2023-12-11T10:11:43.16Z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ournal_conference-publi_RI xmlns="5ef559a9-0d22-4d7f-9025-f4ff14190db5" xsi:nil="true"/>
    <Type_livrable_RI xmlns="5ef559a9-0d22-4d7f-9025-f4ff14190db5" xsi:nil="true"/>
    <Date_livraison_partenaire_RI xmlns="5ef559a9-0d22-4d7f-9025-f4ff14190db5" xsi:nil="true"/>
    <Description_RI xmlns="5ef559a9-0d22-4d7f-9025-f4ff14190db5" xsi:nil="true"/>
    <Livraison_partenaire_RI xmlns="5ef559a9-0d22-4d7f-9025-f4ff14190db5">false</Livraison_partenaire_RI>
    <Responsable_RI xmlns="5ef559a9-0d22-4d7f-9025-f4ff14190db5">
      <UserInfo>
        <DisplayName/>
        <AccountId xsi:nil="true"/>
        <AccountType/>
      </UserInfo>
    </Responsable_RI>
    <Commentaire-apport_a_la_connaissance_RI xmlns="5ef559a9-0d22-4d7f-9025-f4ff14190db5" xsi:nil="true"/>
    <Estimation_avancement_RI xmlns="5ef559a9-0d22-4d7f-9025-f4ff14190db5" xsi:nil="true"/>
    <Retard_Date_realisee_RI xmlns="5ef559a9-0d22-4d7f-9025-f4ff14190db5" xsi:nil="true"/>
    <Date_de_mise_a_disposition_CIR_RI xmlns="5ef559a9-0d22-4d7f-9025-f4ff14190db5" xsi:nil="true"/>
    <Contributeurs_RI xmlns="5ef559a9-0d22-4d7f-9025-f4ff14190db5">
      <UserInfo>
        <DisplayName/>
        <AccountId xsi:nil="true"/>
        <AccountType/>
      </UserInfo>
    </Contributeurs_RI>
    <Reference_livrable_RI xmlns="5ef559a9-0d22-4d7f-9025-f4ff14190db5" xsi:nil="true"/>
    <Date-de-validation-livrable_RI xmlns="5ef559a9-0d22-4d7f-9025-f4ff14190db5" xsi:nil="true"/>
    <Etat_RI xmlns="5ef559a9-0d22-4d7f-9025-f4ff14190db5">1. Non commencé</Etat_RI>
    <Cause_ecart_RI xmlns="5ef559a9-0d22-4d7f-9025-f4ff14190db5" xsi:nil="true"/>
    <Date_publication-conference_RI xmlns="5ef559a9-0d22-4d7f-9025-f4ff14190db5" xsi:nil="true"/>
    <Date-validation_RI xmlns="5ef559a9-0d22-4d7f-9025-f4ff14190db5" xsi:nil="true"/>
    <Valideur_RI xmlns="5ef559a9-0d22-4d7f-9025-f4ff14190db5">
      <UserInfo>
        <DisplayName/>
        <AccountId xsi:nil="true"/>
        <AccountType/>
      </UserInfo>
    </Valideur_RI>
    <Date_Validation_RI xmlns="5ef559a9-0d22-4d7f-9025-f4ff14190db5" xsi:nil="true"/>
    <EdC xmlns="cf7b5989-17e5-473a-8d2c-090f79824b5c" xsi:nil="true"/>
    <Auteurs-inventeurs_publi_RI xmlns="5ef559a9-0d22-4d7f-9025-f4ff14190db5">
      <UserInfo>
        <DisplayName/>
        <AccountId xsi:nil="true"/>
        <AccountType/>
      </UserInfo>
    </Auteurs-inventeurs_publi_RI>
    <Mis_a_disposition_CIR_par_RI xmlns="5ef559a9-0d22-4d7f-9025-f4ff14190db5">
      <UserInfo>
        <DisplayName/>
        <AccountId xsi:nil="true"/>
        <AccountType/>
      </UserInfo>
    </Mis_a_disposition_CIR_par_RI>
    <Publi_Soumis_par_RI xmlns="5ef559a9-0d22-4d7f-9025-f4ff14190db5">
      <UserInfo>
        <DisplayName/>
        <AccountId xsi:nil="true"/>
        <AccountType/>
      </UserInfo>
    </Publi_Soumis_par_RI>
    <Type_publi_RI xmlns="5ef559a9-0d22-4d7f-9025-f4ff14190db5" xsi:nil="true"/>
    <Date_de_mise_a_disposition_RI xmlns="5ef559a9-0d22-4d7f-9025-f4ff14190db5" xsi:nil="true"/>
    <Verificateur_RI xmlns="5ef559a9-0d22-4d7f-9025-f4ff14190db5">
      <UserInfo>
        <DisplayName/>
        <AccountId xsi:nil="true"/>
        <AccountType/>
      </UserInfo>
    </Verificateur_RI>
    <Date_Verification_RI xmlns="5ef559a9-0d22-4d7f-9025-f4ff14190db5" xsi:nil="true"/>
    <Statut-publi_RI xmlns="5ef559a9-0d22-4d7f-9025-f4ff14190db5" xsi:nil="true"/>
    <Type_support_mis_a_dispo_RI xmlns="5ef559a9-0d22-4d7f-9025-f4ff14190db5">SharePoint R&amp;I dédié projet</Type_support_mis_a_dispo_RI>
    <Version_RI xmlns="5ef559a9-0d22-4d7f-9025-f4ff14190db5" xsi:nil="true"/>
    <Date_soumission-publi_RI xmlns="5ef559a9-0d22-4d7f-9025-f4ff14190db5" xsi:nil="true"/>
    <Retard_Date_initiale_RI xmlns="5ef559a9-0d22-4d7f-9025-f4ff14190db5" xsi:nil="true"/>
    <zz-test-doctest xmlns="5ef559a9-0d22-4d7f-9025-f4ff14190db5" xsi:nil="true"/>
    <Mise_a_disposition_CIR_RI xmlns="5ef559a9-0d22-4d7f-9025-f4ff14190db5">false</Mise_a_disposition_CIR_RI>
    <Niveau_maturité_doc_RI xmlns="5ef559a9-0d22-4d7f-9025-f4ff14190db5">Document en cours de modification</Niveau_maturité_doc_RI>
    <Reference_demande_de_travaux_RI xmlns="5ef559a9-0d22-4d7f-9025-f4ff14190db5" xsi:nil="true"/>
    <Livraison_partenaire_par_RI xmlns="5ef559a9-0d22-4d7f-9025-f4ff14190db5">
      <UserInfo>
        <DisplayName/>
        <AccountId xsi:nil="true"/>
        <AccountType/>
      </UserInfo>
    </Livraison_partenaire_par_RI>
    <Nom_livrable_RI xmlns="5ef559a9-0d22-4d7f-9025-f4ff14190db5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-RI-iPowertrain" ma:contentTypeID="0x010100523E576B942B6142BE89226921AF5516002A97F1BAE0846441A76AD74819392D4A00815F59DA6784984591E0DA8D47542166" ma:contentTypeVersion="6" ma:contentTypeDescription="" ma:contentTypeScope="" ma:versionID="4cfa88479fa367f3f259b8fc9b4ed485">
  <xsd:schema xmlns:xsd="http://www.w3.org/2001/XMLSchema" xmlns:xs="http://www.w3.org/2001/XMLSchema" xmlns:p="http://schemas.microsoft.com/office/2006/metadata/properties" xmlns:ns2="5ef559a9-0d22-4d7f-9025-f4ff14190db5" xmlns:ns3="cf7b5989-17e5-473a-8d2c-090f79824b5c" xmlns:ns4="d0cbcfe7-5e74-4003-9331-3c54d92b305d" targetNamespace="http://schemas.microsoft.com/office/2006/metadata/properties" ma:root="true" ma:fieldsID="4eb2bf8ca599a5bff903c1d6c5df9d2a" ns2:_="" ns3:_="" ns4:_="">
    <xsd:import namespace="5ef559a9-0d22-4d7f-9025-f4ff14190db5"/>
    <xsd:import namespace="cf7b5989-17e5-473a-8d2c-090f79824b5c"/>
    <xsd:import namespace="d0cbcfe7-5e74-4003-9331-3c54d92b305d"/>
    <xsd:element name="properties">
      <xsd:complexType>
        <xsd:sequence>
          <xsd:element name="documentManagement">
            <xsd:complexType>
              <xsd:all>
                <xsd:element ref="ns2:Auteurs-inventeurs_publi_RI" minOccurs="0"/>
                <xsd:element ref="ns2:Cause_ecart_RI" minOccurs="0"/>
                <xsd:element ref="ns2:Commentaire-apport_a_la_connaissance_RI" minOccurs="0"/>
                <xsd:element ref="ns2:Date_de_mise_a_disposition_CIR_RI" minOccurs="0"/>
                <xsd:element ref="ns2:Date_de_mise_a_disposition_RI" minOccurs="0"/>
                <xsd:element ref="ns2:Date_livraison_partenaire_RI" minOccurs="0"/>
                <xsd:element ref="ns2:Date_publication-conference_RI" minOccurs="0"/>
                <xsd:element ref="ns2:Date_soumission-publi_RI" minOccurs="0"/>
                <xsd:element ref="ns2:Date-de-validation-livrable_RI" minOccurs="0"/>
                <xsd:element ref="ns2:Description_RI" minOccurs="0"/>
                <xsd:element ref="ns2:Estimation_avancement_RI" minOccurs="0"/>
                <xsd:element ref="ns2:Etat_RI" minOccurs="0"/>
                <xsd:element ref="ns2:Journal_conference-publi_RI" minOccurs="0"/>
                <xsd:element ref="ns2:Livraison_partenaire_par_RI" minOccurs="0"/>
                <xsd:element ref="ns2:Livraison_partenaire_RI" minOccurs="0"/>
                <xsd:element ref="ns2:Mis_a_disposition_CIR_par_RI" minOccurs="0"/>
                <xsd:element ref="ns2:Mise_a_disposition_CIR_RI" minOccurs="0"/>
                <xsd:element ref="ns2:Niveau_maturité_doc_RI" minOccurs="0"/>
                <xsd:element ref="ns2:Nom_livrable_RI" minOccurs="0"/>
                <xsd:element ref="ns2:Publi_Soumis_par_RI" minOccurs="0"/>
                <xsd:element ref="ns2:Reference_demande_de_travaux_RI" minOccurs="0"/>
                <xsd:element ref="ns2:Reference_livrable_RI" minOccurs="0"/>
                <xsd:element ref="ns2:Responsable_RI" minOccurs="0"/>
                <xsd:element ref="ns2:Retard_Date_initiale_RI" minOccurs="0"/>
                <xsd:element ref="ns2:Retard_Date_realisee_RI" minOccurs="0"/>
                <xsd:element ref="ns2:Statut-publi_RI" minOccurs="0"/>
                <xsd:element ref="ns2:Type_livrable_RI" minOccurs="0"/>
                <xsd:element ref="ns2:Type_publi_RI" minOccurs="0"/>
                <xsd:element ref="ns2:Type_support_mis_a_dispo_RI" minOccurs="0"/>
                <xsd:element ref="ns2:Verificateur_RI" minOccurs="0"/>
                <xsd:element ref="ns2:Version_RI" minOccurs="0"/>
                <xsd:element ref="ns2:zz-test-doctest" minOccurs="0"/>
                <xsd:element ref="ns2:Date-validation_RI" minOccurs="0"/>
                <xsd:element ref="ns2:Date_Validation_RI" minOccurs="0"/>
                <xsd:element ref="ns2:Date_Verification_RI" minOccurs="0"/>
                <xsd:element ref="ns2:Valideur_RI" minOccurs="0"/>
                <xsd:element ref="ns2:Contributeurs_RI" minOccurs="0"/>
                <xsd:element ref="ns3:EdC" minOccurs="0"/>
                <xsd:element ref="ns3:EdC_x003a_IdD-t" minOccurs="0"/>
                <xsd:element ref="ns3:EdC_x003a_TdQ-t" minOccurs="0"/>
                <xsd:element ref="ns3:EdC_x003a_Title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559a9-0d22-4d7f-9025-f4ff14190db5" elementFormDefault="qualified">
    <xsd:import namespace="http://schemas.microsoft.com/office/2006/documentManagement/types"/>
    <xsd:import namespace="http://schemas.microsoft.com/office/infopath/2007/PartnerControls"/>
    <xsd:element name="Auteurs-inventeurs_publi_RI" ma:index="3" nillable="true" ma:displayName="Auteurs_publi_RI" ma:description="Auteur de l'article ou de la conférence" ma:list="UserInfo" ma:SharePointGroup="0" ma:internalName="Auteurs_x002d_inventeurs_publi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use_ecart_RI" ma:index="4" nillable="true" ma:displayName="Cause_ecart_RI" ma:description="A préciser uniquement si la traçabilité du retard a un intérêt pour une bonne compréhension des évènements &quot;projet&quot;." ma:internalName="Cause_ecart_RI" ma:readOnly="false">
      <xsd:simpleType>
        <xsd:restriction base="dms:Note">
          <xsd:maxLength value="255"/>
        </xsd:restriction>
      </xsd:simpleType>
    </xsd:element>
    <xsd:element name="Commentaire-apport_a_la_connaissance_RI" ma:index="5" nillable="true" ma:displayName="Commentaire-apport_a_la_connaissance_RI" ma:description="Définir ce que l'article apporte par rapport à l'état de l'art." ma:internalName="Commentaire_x002d_apport_a_la_connaissance_RI" ma:readOnly="false">
      <xsd:simpleType>
        <xsd:restriction base="dms:Note">
          <xsd:maxLength value="255"/>
        </xsd:restriction>
      </xsd:simpleType>
    </xsd:element>
    <xsd:element name="Date_de_mise_a_disposition_CIR_RI" ma:index="6" nillable="true" ma:displayName="Date_de_mise_a_disposition_CIR_RI" ma:description="Date effective de mise à disposition du document au prestataire." ma:format="DateOnly" ma:internalName="Date_de_mise_a_disposition_CIR_RI" ma:readOnly="false">
      <xsd:simpleType>
        <xsd:restriction base="dms:DateTime"/>
      </xsd:simpleType>
    </xsd:element>
    <xsd:element name="Date_de_mise_a_disposition_RI" ma:index="7" nillable="true" ma:displayName="Date_de_mise_a_disposition_RI" ma:description="Avant la fin de l'année civile en cours, tous les livrables produits au cours de cette année doivent être rendus accessibles au prestataire en charge de l'évaluation (éligibilité &amp; défendabilité) du projet au titre du CIR" ma:format="DateOnly" ma:internalName="Date_de_mise_a_disposition_RI" ma:readOnly="false">
      <xsd:simpleType>
        <xsd:restriction base="dms:DateTime"/>
      </xsd:simpleType>
    </xsd:element>
    <xsd:element name="Date_livraison_partenaire_RI" ma:index="8" nillable="true" ma:displayName="Date_livraison_partenaire_RI" ma:description="Date effective de livraison" ma:format="DateOnly" ma:internalName="Date_livraison_partenaire_RI" ma:readOnly="false">
      <xsd:simpleType>
        <xsd:restriction base="dms:DateTime"/>
      </xsd:simpleType>
    </xsd:element>
    <xsd:element name="Date_publication-conference_RI" ma:index="9" nillable="true" ma:displayName="Date_publication-conference_RI" ma:description="Date de publication de l'article ou de réalisation de la conférence" ma:format="DateOnly" ma:internalName="Date_publication_x002d_conference_RI" ma:readOnly="false">
      <xsd:simpleType>
        <xsd:restriction base="dms:DateTime"/>
      </xsd:simpleType>
    </xsd:element>
    <xsd:element name="Date_soumission-publi_RI" ma:index="10" nillable="true" ma:displayName="Date_soumission-publi_RI" ma:description="Soumission de l'article au journal ou de l'abstract à la conférence" ma:format="DateOnly" ma:internalName="Date_soumission_x002d_publi_RI" ma:readOnly="false">
      <xsd:simpleType>
        <xsd:restriction base="dms:DateTime"/>
      </xsd:simpleType>
    </xsd:element>
    <xsd:element name="Date-de-validation-livrable_RI" ma:index="11" nillable="true" ma:displayName="Date-de-validation_RI" ma:description=" Date de passage de la version du document au statut Validé par la personne ayant autorité pour le faire. Cette date est utilisée au calcul de l'&quot; Année-validation_RI&quot; " ma:format="DateOnly" ma:internalName="Date_x002d_de_x002d_validation_x002d_livrable_RI" ma:readOnly="false">
      <xsd:simpleType>
        <xsd:restriction base="dms:DateTime"/>
      </xsd:simpleType>
    </xsd:element>
    <xsd:element name="Description_RI" ma:index="12" nillable="true" ma:displayName="Description_RI" ma:description="Sélectionner une valeur dans la liste prédéfinie." ma:format="Dropdown" ma:internalName="Description_RI" ma:readOnly="false">
      <xsd:simpleType>
        <xsd:restriction base="dms:Choice">
          <xsd:enumeration value="Accord INPI"/>
          <xsd:enumeration value="Appel d'offre - Besoin Client"/>
          <xsd:enumeration value="Appel à projet"/>
          <xsd:enumeration value="Article Interne"/>
          <xsd:enumeration value="Article Scientifique ou Technique"/>
          <xsd:enumeration value="Appel d'offre de sous-traitance"/>
          <xsd:enumeration value="Audit interne"/>
          <xsd:enumeration value="Autorisation de divulgation (consortium)"/>
          <xsd:enumeration value="Avenant au Contrat"/>
          <xsd:enumeration value="Avenant à la convention de mécénat"/>
          <xsd:enumeration value="Avenant à la convention de collaboration (consortium)"/>
          <xsd:enumeration value="Benchmark"/>
          <xsd:enumeration value="Bilan de Prestation"/>
          <xsd:enumeration value="Business Case"/>
          <xsd:enumeration value="Bon de Réception (en cas d’achat)"/>
          <xsd:enumeration value="Cahier des charges"/>
          <xsd:enumeration value="Cahier de Laboratoire"/>
          <xsd:enumeration value="Commande - Bon de commande"/>
          <xsd:enumeration value="Chrono documentaire"/>
          <xsd:enumeration value="Compte Rendu d'Activité Sous-Traitant"/>
          <xsd:enumeration value="Comité de Pilotage"/>
          <xsd:enumeration value="Contrat cadre de sous-traitance"/>
          <xsd:enumeration value="Contrat Fournisseur"/>
          <xsd:enumeration value="Contrat Partenariat"/>
          <xsd:enumeration value="Convention de mécénat"/>
          <xsd:enumeration value="Convention de collaboration (consortium)"/>
          <xsd:enumeration value="Convention de financement (consortium)"/>
          <xsd:enumeration value="Contrat de sous-traitance"/>
          <xsd:enumeration value="Document Projet"/>
          <xsd:enumeration value="Dossiers de Compétences"/>
          <xsd:enumeration value="Devis"/>
          <xsd:enumeration value="Document GO projet"/>
          <xsd:enumeration value="Dossier d’opportunité"/>
          <xsd:enumeration value="Documents soumission appel à projet"/>
          <xsd:enumeration value="Document Technique Prestataire CIR"/>
          <xsd:enumeration value="Document Technique Projet"/>
          <xsd:enumeration value="Document Technique Invention"/>
          <xsd:enumeration value="Plan d'Assurance Sécurité de l'Information"/>
          <xsd:enumeration value="Etat d’Avancement"/>
          <xsd:enumeration value="Etat de l'art"/>
          <xsd:enumeration value="Engagement de Confidentialité sous-traitants"/>
          <xsd:enumeration value="Engagement de Confidentialité Partenaires"/>
          <xsd:enumeration value="Engagement de Confidentialité et de sécurité d'information"/>
          <xsd:enumeration value="Exigences/Risques/Opportunité/Actions"/>
          <xsd:enumeration value="Evaluation Sous-traitant"/>
          <xsd:enumeration value="Facture Appel de fonds (consortium)"/>
          <xsd:enumeration value="Fiche DEPAR"/>
          <xsd:enumeration value="Fiche Détection Brique"/>
          <xsd:enumeration value="Fiche EdC (Meth RDI)"/>
          <xsd:enumeration value="Fiche IdD (Meth RDI)"/>
          <xsd:enumeration value="Fiche Proposition Invention"/>
          <xsd:enumeration value="Fiche de lot"/>
          <xsd:enumeration value="Fiche de tâche"/>
          <xsd:enumeration value="Fcihe de Poste Docteur"/>
          <xsd:enumeration value="Fiche de Poste Expert"/>
          <xsd:enumeration value="Fiche de Poste Stagiaire"/>
          <xsd:enumeration value="Fiche Projet"/>
          <xsd:enumeration value="Glossaire"/>
          <xsd:enumeration value="Go soumission"/>
          <xsd:enumeration value="Grille Audit Processus"/>
          <xsd:enumeration value="Guide d'intégration"/>
          <xsd:enumeration value="Guide utilisateur"/>
          <xsd:enumeration value="Indicateurs d'Avancement"/>
          <xsd:enumeration value="Indicateurs de suivis"/>
          <xsd:enumeration value="Livrable Financier Consortium"/>
          <xsd:enumeration value="Livrable Technique Consortium"/>
          <xsd:enumeration value="Maquette"/>
          <xsd:enumeration value="Matrice de Compétences"/>
          <xsd:enumeration value="Modèle"/>
          <xsd:enumeration value="Proposition d'Avenant"/>
          <xsd:enumeration value="Plan de communication"/>
          <xsd:enumeration value="Plan de Gestion de Sous-traitant"/>
          <xsd:enumeration value="Planning"/>
          <xsd:enumeration value="Plan de prévention"/>
          <xsd:enumeration value="Plan Qualité Founisseur"/>
          <xsd:enumeration value="Poster"/>
          <xsd:enumeration value="Proposition"/>
          <xsd:enumeration value="Proposition d'Avenant"/>
          <xsd:enumeration value="Proposition de brevet"/>
          <xsd:enumeration value="Proposition Sujet Stage"/>
          <xsd:enumeration value="Prototypage"/>
          <xsd:enumeration value="Procès-Verbal d'Acceptation"/>
          <xsd:enumeration value="Rapport d'avancement (consortium)"/>
          <xsd:enumeration value="Rapport d'Audit"/>
          <xsd:enumeration value="Rapport Commissaires aux comptes"/>
          <xsd:enumeration value="Rapport Technique"/>
          <xsd:enumeration value="Rapport Technique intermédiaire"/>
          <xsd:enumeration value="Rapport de stage"/>
          <xsd:enumeration value="Rôles et responsabilité dans le projet - Matrice RACI"/>
          <xsd:enumeration value="Recherche partenaires"/>
          <xsd:enumeration value="Reponse à Appel d'Offre (RAO)"/>
          <xsd:enumeration value="Retour d'Experience (Retex)"/>
          <xsd:enumeration value="Retour INPI"/>
          <xsd:enumeration value="Réunion technique"/>
          <xsd:enumeration value="Réunion sponsor"/>
          <xsd:enumeration value="Revue de clôture"/>
          <xsd:enumeration value="Revue de lancement"/>
          <xsd:enumeration value="Revue de livrables"/>
          <xsd:enumeration value="Revue d'opportunité"/>
          <xsd:enumeration value="Revue de proposition"/>
          <xsd:enumeration value="Revue de réponse"/>
          <xsd:enumeration value="REFérence commerciale"/>
          <xsd:enumeration value="Request for Information RFI"/>
          <xsd:enumeration value="Revue interne de projet"/>
          <xsd:enumeration value="Simulation"/>
          <xsd:enumeration value="Support Analyse Eligibilité Défendabilité"/>
          <xsd:enumeration value="Support COPIL"/>
          <xsd:enumeration value="Support COPIL avec CR"/>
          <xsd:enumeration value="Support Go Projet"/>
          <xsd:enumeration value="Support Soutenance Stage"/>
          <xsd:enumeration value="Suivi des Actions"/>
          <xsd:enumeration value="Suivi des Exigences"/>
          <xsd:enumeration value="Suivi des Faits marquants"/>
          <xsd:enumeration value="Suivi des livrables"/>
          <xsd:enumeration value="Suivi des Risques et Opportunités"/>
          <xsd:enumeration value="Support de réunion de lancement externe"/>
          <xsd:enumeration value="Synthèse de contrat"/>
          <xsd:enumeration value="Synthèse des travaux"/>
          <xsd:enumeration value="Tableau De Bord"/>
          <xsd:enumeration value="Valorisation"/>
        </xsd:restriction>
      </xsd:simpleType>
    </xsd:element>
    <xsd:element name="Estimation_avancement_RI" ma:index="14" nillable="true" ma:displayName="Estimation_avancement_RI" ma:description="Valeur de 1 à 10 indiquant le pourcentage d'avancement (ex : 1 pour 10%, 5 pour 50%..., 10 pour 100%)" ma:internalName="Estimation_avancement_RI" ma:readOnly="false" ma:percentage="FALSE">
      <xsd:simpleType>
        <xsd:restriction base="dms:Number">
          <xsd:maxInclusive value="10"/>
          <xsd:minInclusive value="0"/>
        </xsd:restriction>
      </xsd:simpleType>
    </xsd:element>
    <xsd:element name="Etat_RI" ma:index="15" nillable="true" ma:displayName="Statut_livrable_RI" ma:default="1. Non commencé" ma:description="1. Non commencé&#10;Document planifié mais non initié.&#10;&#10;2. Draft / En cours&#10;Document en cours d'élaboration&#10;&#10;3. En relecture&#10;Document en cours de relecture par un tiers.&#10;&#10;4. Vérifié / A valider&#10;Document terminé  et vérifié mais non validé&#10;&#10;5. Validé&#10;Document approuvé par la personne qui a l'autorité pour le faire.&#10;&#10;6. Refusé / A réviser&#10;Document rejeté par la personne qui a l'autorité pour le faire.&#10;Document non approuvé en l'état. A reprendre.&#10;&#10;7. En modification&#10;Document en cours de correction.&#10;&#10;8. Annulé&#10;Document n'ayant plus d'intérêt sur le projet." ma:format="Dropdown" ma:internalName="Etat_RI" ma:readOnly="false">
      <xsd:simpleType>
        <xsd:restriction base="dms:Choice">
          <xsd:enumeration value="1. Non commencé"/>
          <xsd:enumeration value="2. Draft / En cours"/>
          <xsd:enumeration value="3. En relecture"/>
          <xsd:enumeration value="4. Vérifié / A valider"/>
          <xsd:enumeration value="5. Validé"/>
          <xsd:enumeration value="6. Refusé / A réviser"/>
          <xsd:enumeration value="7. En modification"/>
          <xsd:enumeration value="8. Annulé"/>
        </xsd:restriction>
      </xsd:simpleType>
    </xsd:element>
    <xsd:element name="Journal_conference-publi_RI" ma:index="16" nillable="true" ma:displayName="Journal_conference-publi_RI" ma:description="Nom du journal ou de la conférence" ma:internalName="Journal_conference_x002d_publi_RI" ma:readOnly="false">
      <xsd:simpleType>
        <xsd:restriction base="dms:Text">
          <xsd:maxLength value="255"/>
        </xsd:restriction>
      </xsd:simpleType>
    </xsd:element>
    <xsd:element name="Livraison_partenaire_par_RI" ma:index="17" nillable="true" ma:displayName="Livraison_partenaire_par_RI" ma:description="Personne ayant envoyé le document" ma:list="UserInfo" ma:SharePointGroup="0" ma:internalName="Livraison_partenaire_pa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ivraison_partenaire_RI" ma:index="18" nillable="true" ma:displayName="Livraison_partenaire_RI" ma:default="0" ma:description="Indiquer si le document à vocation à être livré au partenaire." ma:internalName="Livraison_partenaire_RI" ma:readOnly="false">
      <xsd:simpleType>
        <xsd:restriction base="dms:Boolean"/>
      </xsd:simpleType>
    </xsd:element>
    <xsd:element name="Mis_a_disposition_CIR_par_RI" ma:index="19" nillable="true" ma:displayName="Mis_a_disposition_CIR_par_RI" ma:description="Personne ayant envoyé le document au prestataire." ma:list="UserInfo" ma:SharePointGroup="0" ma:internalName="Mis_a_disposition_CIR_pa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ise_a_disposition_CIR_RI" ma:index="20" nillable="true" ma:displayName="Mise_a_disposition_CIR_RI" ma:default="0" ma:description="Livrable à soumettre au prestataire en charge de l'éligibilité au titre du CIR (versus livrable purement interne au projet)." ma:internalName="Mise_a_disposition_CIR_RI" ma:readOnly="false">
      <xsd:simpleType>
        <xsd:restriction base="dms:Boolean"/>
      </xsd:simpleType>
    </xsd:element>
    <xsd:element name="Niveau_maturité_doc_RI" ma:index="21" nillable="true" ma:displayName="Niveau_maturité_doc_RI" ma:default="Document en cours de modification" ma:format="RadioButtons" ma:internalName="Niveau_maturit_x00e9__doc_RI" ma:readOnly="false">
      <xsd:simpleType>
        <xsd:restriction base="dms:Choice">
          <xsd:enumeration value="Document en cours de modification"/>
          <xsd:enumeration value="Document finalisé par le consultant / A valider par le CdP"/>
          <xsd:enumeration value="Document validé par le CdP"/>
          <xsd:enumeration value="Document non validé par le CdP (voir commentaires)"/>
        </xsd:restriction>
      </xsd:simpleType>
    </xsd:element>
    <xsd:element name="Nom_livrable_RI" ma:index="22" nillable="true" ma:displayName="Nom_livrable_RI" ma:description="optionnel (à renseigner si le nom du fichier n’est pas explicite)" ma:internalName="Nom_livrable_RI" ma:readOnly="false">
      <xsd:simpleType>
        <xsd:restriction base="dms:Text">
          <xsd:maxLength value="255"/>
        </xsd:restriction>
      </xsd:simpleType>
    </xsd:element>
    <xsd:element name="Publi_Soumis_par_RI" ma:index="23" nillable="true" ma:displayName="Publi_Soumis_par_RI" ma:description="Personne ayant soumis l'article ou l'abstract." ma:list="UserInfo" ma:SharePointGroup="0" ma:internalName="Publi_Soumis_pa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ference_demande_de_travaux_RI" ma:index="24" nillable="true" ma:displayName="Reference_demande_de_travaux_RI" ma:description="Référence SWAM&#10;" ma:internalName="Reference_demande_de_travaux_RI" ma:readOnly="false">
      <xsd:simpleType>
        <xsd:restriction base="dms:Text">
          <xsd:maxLength value="255"/>
        </xsd:restriction>
      </xsd:simpleType>
    </xsd:element>
    <xsd:element name="Reference_livrable_RI" ma:index="25" nillable="true" ma:displayName="Reference_livrable_RI" ma:description="Référence du livrable (ex : LIV_01, LIV_02...)" ma:indexed="true" ma:internalName="Reference_livrable_RI" ma:readOnly="false">
      <xsd:simpleType>
        <xsd:restriction base="dms:Text">
          <xsd:maxLength value="255"/>
        </xsd:restriction>
      </xsd:simpleType>
    </xsd:element>
    <xsd:element name="Responsable_RI" ma:index="26" nillable="true" ma:displayName="Responsable_RI" ma:description="Responsable : rédacteur contributeur principal" ma:list="UserInfo" ma:SharePointGroup="0" ma:internalName="Responsable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tard_Date_initiale_RI" ma:index="27" nillable="true" ma:displayName="​Livraison_date_initiale_RI" ma:description="Date initialement visée" ma:format="DateOnly" ma:internalName="Retard_Date_initiale_RI" ma:readOnly="false">
      <xsd:simpleType>
        <xsd:restriction base="dms:DateTime"/>
      </xsd:simpleType>
    </xsd:element>
    <xsd:element name="Retard_Date_realisee_RI" ma:index="28" nillable="true" ma:displayName="Livraison_date_realisee_RI" ma:description="Date effective d'achèvement du livrable" ma:format="DateOnly" ma:internalName="Retard_Date_realisee_RI" ma:readOnly="false">
      <xsd:simpleType>
        <xsd:restriction base="dms:DateTime"/>
      </xsd:simpleType>
    </xsd:element>
    <xsd:element name="Statut-publi_RI" ma:index="29" nillable="true" ma:displayName="Statut-publi_RI" ma:format="Dropdown" ma:internalName="Statut_x002d_publi_RI" ma:readOnly="false">
      <xsd:simpleType>
        <xsd:restriction base="dms:Choice">
          <xsd:enumeration value="​​Ebauché"/>
          <xsd:enumeration value="Soumis"/>
          <xsd:enumeration value="Refusé"/>
          <xsd:enumeration value="Accepté"/>
          <xsd:enumeration value="Présenté/publié"/>
          <xsd:enumeration value="En révision"/>
        </xsd:restriction>
      </xsd:simpleType>
    </xsd:element>
    <xsd:element name="Type_livrable_RI" ma:index="30" nillable="true" ma:displayName="Type_livrable_RI" ma:description="Sélectionner une valeur dans la liste suggérée (valeur libre possible)." ma:format="Dropdown" ma:internalName="Type_livrable_RI" ma:readOnly="false">
      <xsd:simpleType>
        <xsd:union memberTypes="dms:Text">
          <xsd:simpleType>
            <xsd:restriction base="dms:Choice">
              <xsd:enumeration value="*Article Scientifique ou Technique"/>
              <xsd:enumeration value="*Document Technique Projet"/>
              <xsd:enumeration value="*Rapport de stage"/>
              <xsd:enumeration value="*Support Analyse Eligibilité"/>
              <xsd:enumeration value="*Défendabilité"/>
              <xsd:enumeration value="*Support COPIL"/>
              <xsd:enumeration value="*Document interne"/>
            </xsd:restriction>
          </xsd:simpleType>
        </xsd:union>
      </xsd:simpleType>
    </xsd:element>
    <xsd:element name="Type_publi_RI" ma:index="31" nillable="true" ma:displayName="Type_publi_RI" ma:format="Dropdown" ma:internalName="Type_publi_RI" ma:readOnly="false">
      <xsd:simpleType>
        <xsd:restriction base="dms:Choice">
          <xsd:enumeration value="Abstract conférence​"/>
          <xsd:enumeration value="Article​"/>
          <xsd:enumeration value="Livre / chapitre /contribution livre​"/>
          <xsd:enumeration value="Support conférence​"/>
          <xsd:enumeration value="Proceeding​"/>
        </xsd:restriction>
      </xsd:simpleType>
    </xsd:element>
    <xsd:element name="Type_support_mis_a_dispo_RI" ma:index="32" nillable="true" ma:displayName="Type_espace_capitalisation_RI" ma:default="SharePoint R&amp;I dédié projet" ma:description="Espace de capitalisation de la production du projet R&amp;I (voir liste déroulante proposée / saisie libre autorisée)" ma:format="Dropdown" ma:internalName="Type_support_mis_a_dispo_RI" ma:readOnly="false">
      <xsd:simpleType>
        <xsd:restriction base="dms:Choice">
          <xsd:enumeration value="SharePoint R&amp;I dédié projet"/>
          <xsd:enumeration value="SharePoint - TEAMS"/>
          <xsd:enumeration value="Disque partagé projet"/>
          <xsd:enumeration value="Outil de versionning de code (SVN, GitLab...)"/>
          <xsd:enumeration value="Autre"/>
        </xsd:restriction>
      </xsd:simpleType>
    </xsd:element>
    <xsd:element name="Verificateur_RI" ma:index="33" nillable="true" ma:displayName="Verificateur_RI" ma:description="&quot;La personne qui a vériifé le livrable est la personne qui a les compétences techniques pour le faire&quot;" ma:list="UserInfo" ma:SharePointGroup="0" ma:internalName="Verificateu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ersion_RI" ma:index="34" nillable="true" ma:displayName="Version_RI" ma:description="Version du document" ma:internalName="Version_RI" ma:readOnly="false">
      <xsd:simpleType>
        <xsd:restriction base="dms:Text">
          <xsd:maxLength value="255"/>
        </xsd:restriction>
      </xsd:simpleType>
    </xsd:element>
    <xsd:element name="zz-test-doctest" ma:index="35" nillable="true" ma:displayName="zz-test-doctest" ma:internalName="zz_x002d_test_x002d_doctest" ma:readOnly="false">
      <xsd:simpleType>
        <xsd:restriction base="dms:Note">
          <xsd:maxLength value="255"/>
        </xsd:restriction>
      </xsd:simpleType>
    </xsd:element>
    <xsd:element name="Date-validation_RI" ma:index="37" nillable="true" ma:displayName="Date-validation_RI" ma:default="" ma:description="Date de validation de la version du document. La saisie de cette date est exigée à partir de 2022. Cette date sert pour le calcul automatique de la colonne « Annee-validation_RI  " ma:format="DateOnly" ma:internalName="Date_x002d_validation_RI">
      <xsd:simpleType>
        <xsd:restriction base="dms:DateTime"/>
      </xsd:simpleType>
    </xsd:element>
    <xsd:element name="Date_Validation_RI" ma:index="44" nillable="true" ma:displayName="Date_Validation_RI" ma:format="DateOnly" ma:internalName="Date_Validation_RI">
      <xsd:simpleType>
        <xsd:restriction base="dms:DateTime"/>
      </xsd:simpleType>
    </xsd:element>
    <xsd:element name="Date_Verification_RI" ma:index="46" nillable="true" ma:displayName="Date_Verification_RI" ma:default="" ma:description="Date de la vérification du document au sens du V&amp;V (Verification et Validation)&#10;" ma:format="DateOnly" ma:internalName="Date_Verification_RI">
      <xsd:simpleType>
        <xsd:restriction base="dms:DateTime"/>
      </xsd:simpleType>
    </xsd:element>
    <xsd:element name="Valideur_RI" ma:index="47" nillable="true" ma:displayName="Valideur_RI" ma:description="Personne ayant validé le document (et ayant les compétences pour le faire)" ma:list="UserInfo" ma:internalName="Valideur_RI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ributeurs_RI" ma:index="48" nillable="true" ma:displayName="Contributeurs_RI" ma:description="Liste de personnes ayant contribué à cette version du document" ma:list="UserInfo" ma:SearchPeopleOnly="false" ma:SharePointGroup="0" ma:internalName="Contributeurs_RI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b5989-17e5-473a-8d2c-090f79824b5c" elementFormDefault="qualified">
    <xsd:import namespace="http://schemas.microsoft.com/office/2006/documentManagement/types"/>
    <xsd:import namespace="http://schemas.microsoft.com/office/infopath/2007/PartnerControls"/>
    <xsd:element name="EdC" ma:index="49" nillable="true" ma:displayName="EdC" ma:list="{91b0d2ad-0ecb-47de-9712-c7e944617fde}" ma:internalName="EdC" ma:showField="EdC_x002d_ref" ma:web="cf7b5989-17e5-473a-8d2c-090f79824b5c">
      <xsd:simpleType>
        <xsd:restriction base="dms:Lookup"/>
      </xsd:simpleType>
    </xsd:element>
    <xsd:element name="EdC_x003a_IdD-t" ma:index="50" nillable="true" ma:displayName="EdC:IdD-t" ma:list="{91b0d2ad-0ecb-47de-9712-c7e944617fde}" ma:internalName="EdC_x003A_IdD_x002d_t" ma:readOnly="true" ma:showField="IdD_x002d_t" ma:web="cf7b5989-17e5-473a-8d2c-090f79824b5c">
      <xsd:simpleType>
        <xsd:restriction base="dms:Lookup"/>
      </xsd:simpleType>
    </xsd:element>
    <xsd:element name="EdC_x003a_TdQ-t" ma:index="51" nillable="true" ma:displayName="EdC:TdQ-t" ma:list="{91b0d2ad-0ecb-47de-9712-c7e944617fde}" ma:internalName="EdC_x003A_TdQ_x002d_t" ma:readOnly="true" ma:showField="TdQ_x002d_t" ma:web="cf7b5989-17e5-473a-8d2c-090f79824b5c">
      <xsd:simpleType>
        <xsd:restriction base="dms:Lookup"/>
      </xsd:simpleType>
    </xsd:element>
    <xsd:element name="EdC_x003a_Title" ma:index="52" nillable="true" ma:displayName="EdC:Title" ma:list="{91b0d2ad-0ecb-47de-9712-c7e944617fde}" ma:internalName="EdC_x003A_Title" ma:readOnly="true" ma:showField="Title" ma:web="cf7b5989-17e5-473a-8d2c-090f79824b5c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bcfe7-5e74-4003-9331-3c54d92b30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5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8AD993-540C-415B-8066-5119FD7E7D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41AC06-5ED6-4900-8800-445680C0201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26922A5-F8C4-4CC5-B48B-F6BA21C678A5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d0cbcfe7-5e74-4003-9331-3c54d92b305d"/>
    <ds:schemaRef ds:uri="http://purl.org/dc/dcmitype/"/>
    <ds:schemaRef ds:uri="http://schemas.openxmlformats.org/package/2006/metadata/core-properties"/>
    <ds:schemaRef ds:uri="cf7b5989-17e5-473a-8d2c-090f79824b5c"/>
    <ds:schemaRef ds:uri="5ef559a9-0d22-4d7f-9025-f4ff14190db5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3ADF37BC-983C-4CF2-BF1E-49BFCD7AF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f559a9-0d22-4d7f-9025-f4ff14190db5"/>
    <ds:schemaRef ds:uri="cf7b5989-17e5-473a-8d2c-090f79824b5c"/>
    <ds:schemaRef ds:uri="d0cbcfe7-5e74-4003-9331-3c54d92b30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Projet Recalage - Tache</vt:lpstr>
      <vt:lpstr>Projet iPWT- Stage (SmartSup)</vt:lpstr>
      <vt:lpstr>Table</vt:lpstr>
      <vt:lpstr>ouinon</vt:lpstr>
      <vt:lpstr>semaine</vt:lpstr>
      <vt:lpstr>'Projet iPWT- Stage (SmartSup)'!Zone_d_impression</vt:lpstr>
      <vt:lpstr>'Projet Recalage - Tache'!Zone_d_impression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Cédric Guérin</dc:creator>
  <cp:keywords/>
  <dc:description/>
  <cp:lastModifiedBy>FURFARO, Fabien</cp:lastModifiedBy>
  <cp:revision/>
  <dcterms:created xsi:type="dcterms:W3CDTF">2013-05-27T13:57:34Z</dcterms:created>
  <dcterms:modified xsi:type="dcterms:W3CDTF">2025-11-13T17:40:53Z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0x010100523E576B942B6142BE89226921AF5516002A97F1BAE0846441A76AD74819392D4A00815F59DA6784984591E0DA8D47542166</vt:lpwstr>
  </property>
  <property fmtid="{D5CDD505-2E9C-101B-9397-08002B2CF9AE}" pid="3" name="Order">
    <vt:r8>1111100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